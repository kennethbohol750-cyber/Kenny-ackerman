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style1.xml" ContentType="application/vnd.ms-office.chartstyle+xml"/>
  <Override PartName="/xl/charts/colors1.xml" ContentType="application/vnd.ms-office.chartcolorstyle+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manci\Downloads\"/>
    </mc:Choice>
  </mc:AlternateContent>
  <xr:revisionPtr revIDLastSave="0" documentId="13_ncr:1_{B9E147A2-E917-4AFA-ACAB-5178F416F7EC}" xr6:coauthVersionLast="47" xr6:coauthVersionMax="47" xr10:uidLastSave="{00000000-0000-0000-0000-000000000000}"/>
  <bookViews>
    <workbookView xWindow="-120" yWindow="-120" windowWidth="20730" windowHeight="11160" tabRatio="500" activeTab="1" xr2:uid="{00000000-000D-0000-FFFF-FFFF00000000}"/>
  </bookViews>
  <sheets>
    <sheet name="Data_Dictionary" sheetId="2" r:id="rId1"/>
    <sheet name="Raw_Data" sheetId="1" r:id="rId2"/>
    <sheet name="Cleaned_Data" sheetId="3" r:id="rId3"/>
    <sheet name="Descriptive_Statistics" sheetId="4" r:id="rId4"/>
    <sheet name="Course_Analysis" sheetId="5" r:id="rId5"/>
    <sheet name="LabRoom_Analysis" sheetId="6" r:id="rId6"/>
    <sheet name="Correlation_Analysis" sheetId="7" r:id="rId7"/>
    <sheet name="PivotTable_Summary" sheetId="8" r:id="rId8"/>
    <sheet name="Charts" sheetId="9" r:id="rId9"/>
    <sheet name="Findings_Recommendations" sheetId="10" r:id="rId10"/>
  </sheets>
  <definedNames>
    <definedName name="_xlnm._FilterDatabase" localSheetId="1" hidden="1">Raw_Data!$A$2:$J$51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H62" i="1" l="1"/>
  <c r="D4" i="4"/>
  <c r="B4" i="4"/>
  <c r="C8" i="5"/>
  <c r="E17" i="8"/>
  <c r="D16" i="7"/>
  <c r="D12" i="7"/>
  <c r="E8" i="5"/>
  <c r="C6" i="5"/>
  <c r="B5" i="5"/>
  <c r="E8" i="4"/>
  <c r="E4" i="4"/>
  <c r="J61" i="3"/>
  <c r="I61" i="3"/>
  <c r="H61" i="3"/>
  <c r="G61" i="3"/>
  <c r="F61" i="3"/>
  <c r="E61" i="3"/>
  <c r="D61" i="3"/>
  <c r="C61" i="3"/>
  <c r="B61" i="3"/>
  <c r="A61" i="3"/>
  <c r="J60" i="3"/>
  <c r="I60" i="3"/>
  <c r="H60" i="3"/>
  <c r="G60" i="3"/>
  <c r="F60" i="3"/>
  <c r="E60" i="3"/>
  <c r="D60" i="3"/>
  <c r="C60" i="3"/>
  <c r="B60" i="3"/>
  <c r="A60" i="3"/>
  <c r="J59" i="3"/>
  <c r="I59" i="3"/>
  <c r="H59" i="3"/>
  <c r="G59" i="3"/>
  <c r="F59" i="3"/>
  <c r="E59" i="3"/>
  <c r="D59" i="3"/>
  <c r="C59" i="3"/>
  <c r="B59" i="3"/>
  <c r="A59" i="3"/>
  <c r="J58" i="3"/>
  <c r="I58" i="3"/>
  <c r="H58" i="3"/>
  <c r="G58" i="3"/>
  <c r="F58" i="3"/>
  <c r="E58" i="3"/>
  <c r="D58" i="3"/>
  <c r="C58" i="3"/>
  <c r="B58" i="3"/>
  <c r="A58" i="3"/>
  <c r="J57" i="3"/>
  <c r="I57" i="3"/>
  <c r="H57" i="3"/>
  <c r="G57" i="3"/>
  <c r="F57" i="3"/>
  <c r="E57" i="3"/>
  <c r="D57" i="3"/>
  <c r="C57" i="3"/>
  <c r="B57" i="3"/>
  <c r="A57" i="3"/>
  <c r="J56" i="3"/>
  <c r="I56" i="3"/>
  <c r="H56" i="3"/>
  <c r="G56" i="3"/>
  <c r="F56" i="3"/>
  <c r="E56" i="3"/>
  <c r="D56" i="3"/>
  <c r="C56" i="3"/>
  <c r="B56" i="3"/>
  <c r="A56" i="3"/>
  <c r="J55" i="3"/>
  <c r="I55" i="3"/>
  <c r="H55" i="3"/>
  <c r="G55" i="3"/>
  <c r="F55" i="3"/>
  <c r="E55" i="3"/>
  <c r="D55" i="3"/>
  <c r="C55" i="3"/>
  <c r="B55" i="3"/>
  <c r="A55" i="3"/>
  <c r="J54" i="3"/>
  <c r="I54" i="3"/>
  <c r="H54" i="3"/>
  <c r="G54" i="3"/>
  <c r="F54" i="3"/>
  <c r="E54" i="3"/>
  <c r="D54" i="3"/>
  <c r="C54" i="3"/>
  <c r="B54" i="3"/>
  <c r="A54" i="3"/>
  <c r="J53" i="3"/>
  <c r="I53" i="3"/>
  <c r="H53" i="3"/>
  <c r="G53" i="3"/>
  <c r="F53" i="3"/>
  <c r="E53" i="3"/>
  <c r="D53" i="3"/>
  <c r="C53" i="3"/>
  <c r="B53" i="3"/>
  <c r="A53" i="3"/>
  <c r="J52" i="3"/>
  <c r="I52" i="3"/>
  <c r="H52" i="3"/>
  <c r="G52" i="3"/>
  <c r="F52" i="3"/>
  <c r="E52" i="3"/>
  <c r="D52" i="3"/>
  <c r="C52" i="3"/>
  <c r="B52" i="3"/>
  <c r="A52" i="3"/>
  <c r="J51" i="3"/>
  <c r="I51" i="3"/>
  <c r="H51" i="3"/>
  <c r="G51" i="3"/>
  <c r="F51" i="3"/>
  <c r="E51" i="3"/>
  <c r="D51" i="3"/>
  <c r="C51" i="3"/>
  <c r="B51" i="3"/>
  <c r="A51" i="3"/>
  <c r="J50" i="3"/>
  <c r="I50" i="3"/>
  <c r="H50" i="3"/>
  <c r="G50" i="3"/>
  <c r="F50" i="3"/>
  <c r="E50" i="3"/>
  <c r="D50" i="3"/>
  <c r="C50" i="3"/>
  <c r="B50" i="3"/>
  <c r="A50" i="3"/>
  <c r="J49" i="3"/>
  <c r="I49" i="3"/>
  <c r="H49" i="3"/>
  <c r="G49" i="3"/>
  <c r="F49" i="3"/>
  <c r="E49" i="3"/>
  <c r="D49" i="3"/>
  <c r="C49" i="3"/>
  <c r="B49" i="3"/>
  <c r="A49" i="3"/>
  <c r="J48" i="3"/>
  <c r="I48" i="3"/>
  <c r="H48" i="3"/>
  <c r="G48" i="3"/>
  <c r="F48" i="3"/>
  <c r="E48" i="3"/>
  <c r="D48" i="3"/>
  <c r="C48" i="3"/>
  <c r="B48" i="3"/>
  <c r="A48" i="3"/>
  <c r="J47" i="3"/>
  <c r="I47" i="3"/>
  <c r="H47" i="3"/>
  <c r="G47" i="3"/>
  <c r="F47" i="3"/>
  <c r="E47" i="3"/>
  <c r="D47" i="3"/>
  <c r="C47" i="3"/>
  <c r="B47" i="3"/>
  <c r="A47" i="3"/>
  <c r="J46" i="3"/>
  <c r="I46" i="3"/>
  <c r="H46" i="3"/>
  <c r="G46" i="3"/>
  <c r="F46" i="3"/>
  <c r="E46" i="3"/>
  <c r="D46" i="3"/>
  <c r="C46" i="3"/>
  <c r="B46" i="3"/>
  <c r="A46" i="3"/>
  <c r="J45" i="3"/>
  <c r="I45" i="3"/>
  <c r="H45" i="3"/>
  <c r="G45" i="3"/>
  <c r="F45" i="3"/>
  <c r="E45" i="3"/>
  <c r="D45" i="3"/>
  <c r="C45" i="3"/>
  <c r="B45" i="3"/>
  <c r="A45" i="3"/>
  <c r="J44" i="3"/>
  <c r="I44" i="3"/>
  <c r="H44" i="3"/>
  <c r="G44" i="3"/>
  <c r="F44" i="3"/>
  <c r="E44" i="3"/>
  <c r="D44" i="3"/>
  <c r="C44" i="3"/>
  <c r="B44" i="3"/>
  <c r="A44" i="3"/>
  <c r="J43" i="3"/>
  <c r="I43" i="3"/>
  <c r="H43" i="3"/>
  <c r="G43" i="3"/>
  <c r="F43" i="3"/>
  <c r="E43" i="3"/>
  <c r="D43" i="3"/>
  <c r="C43" i="3"/>
  <c r="B43" i="3"/>
  <c r="A43" i="3"/>
  <c r="J42" i="3"/>
  <c r="I42" i="3"/>
  <c r="H42" i="3"/>
  <c r="G42" i="3"/>
  <c r="F42" i="3"/>
  <c r="E42" i="3"/>
  <c r="D42" i="3"/>
  <c r="C42" i="3"/>
  <c r="B42" i="3"/>
  <c r="A42" i="3"/>
  <c r="J41" i="3"/>
  <c r="I41" i="3"/>
  <c r="H41" i="3"/>
  <c r="G41" i="3"/>
  <c r="F41" i="3"/>
  <c r="E41" i="3"/>
  <c r="D41" i="3"/>
  <c r="C41" i="3"/>
  <c r="B41" i="3"/>
  <c r="A41" i="3"/>
  <c r="J40" i="3"/>
  <c r="I40" i="3"/>
  <c r="H40" i="3"/>
  <c r="G40" i="3"/>
  <c r="F40" i="3"/>
  <c r="E40" i="3"/>
  <c r="D40" i="3"/>
  <c r="C40" i="3"/>
  <c r="B40" i="3"/>
  <c r="A40" i="3"/>
  <c r="J39" i="3"/>
  <c r="I39" i="3"/>
  <c r="H39" i="3"/>
  <c r="G39" i="3"/>
  <c r="F39" i="3"/>
  <c r="E39" i="3"/>
  <c r="D39" i="3"/>
  <c r="C39" i="3"/>
  <c r="B39" i="3"/>
  <c r="A39" i="3"/>
  <c r="J38" i="3"/>
  <c r="I38" i="3"/>
  <c r="H38" i="3"/>
  <c r="G38" i="3"/>
  <c r="F38" i="3"/>
  <c r="E38" i="3"/>
  <c r="D38" i="3"/>
  <c r="C14" i="8" s="1"/>
  <c r="C38" i="3"/>
  <c r="B38" i="3"/>
  <c r="A38" i="3"/>
  <c r="J37" i="3"/>
  <c r="I37" i="3"/>
  <c r="H37" i="3"/>
  <c r="G37" i="3"/>
  <c r="F37" i="3"/>
  <c r="E37" i="3"/>
  <c r="D37" i="3"/>
  <c r="C37" i="3"/>
  <c r="B37" i="3"/>
  <c r="A37" i="3"/>
  <c r="J36" i="3"/>
  <c r="I36" i="3"/>
  <c r="H36" i="3"/>
  <c r="G36" i="3"/>
  <c r="F36" i="3"/>
  <c r="E36" i="3"/>
  <c r="D36" i="3"/>
  <c r="C36" i="3"/>
  <c r="B36" i="3"/>
  <c r="A36" i="3"/>
  <c r="J35" i="3"/>
  <c r="I35" i="3"/>
  <c r="H35" i="3"/>
  <c r="G35" i="3"/>
  <c r="F35" i="3"/>
  <c r="E35" i="3"/>
  <c r="D35" i="3"/>
  <c r="C35" i="3"/>
  <c r="B35" i="3"/>
  <c r="A35" i="3"/>
  <c r="J34" i="3"/>
  <c r="I34" i="3"/>
  <c r="H34" i="3"/>
  <c r="G34" i="3"/>
  <c r="F34" i="3"/>
  <c r="E34" i="3"/>
  <c r="D34" i="3"/>
  <c r="C34" i="3"/>
  <c r="B34" i="3"/>
  <c r="A34" i="3"/>
  <c r="J33" i="3"/>
  <c r="I33" i="3"/>
  <c r="H33" i="3"/>
  <c r="G33" i="3"/>
  <c r="F33" i="3"/>
  <c r="E33" i="3"/>
  <c r="D33" i="3"/>
  <c r="C33" i="3"/>
  <c r="B33" i="3"/>
  <c r="A33" i="3"/>
  <c r="J32" i="3"/>
  <c r="I32" i="3"/>
  <c r="H32" i="3"/>
  <c r="G32" i="3"/>
  <c r="F32" i="3"/>
  <c r="E32" i="3"/>
  <c r="D32" i="3"/>
  <c r="C32" i="3"/>
  <c r="B32" i="3"/>
  <c r="A32" i="3"/>
  <c r="J31" i="3"/>
  <c r="I31" i="3"/>
  <c r="H31" i="3"/>
  <c r="G31" i="3"/>
  <c r="F31" i="3"/>
  <c r="E31" i="3"/>
  <c r="D31" i="3"/>
  <c r="C31" i="3"/>
  <c r="B31" i="3"/>
  <c r="A31" i="3"/>
  <c r="J30" i="3"/>
  <c r="I30" i="3"/>
  <c r="H30" i="3"/>
  <c r="G30" i="3"/>
  <c r="F30" i="3"/>
  <c r="E30" i="3"/>
  <c r="D30" i="3"/>
  <c r="C30" i="3"/>
  <c r="B30" i="3"/>
  <c r="A30" i="3"/>
  <c r="J29" i="3"/>
  <c r="I29" i="3"/>
  <c r="H29" i="3"/>
  <c r="G29" i="3"/>
  <c r="F29" i="3"/>
  <c r="E29" i="3"/>
  <c r="D29" i="3"/>
  <c r="C29" i="3"/>
  <c r="B29" i="3"/>
  <c r="A29" i="3"/>
  <c r="J28" i="3"/>
  <c r="I28" i="3"/>
  <c r="H28" i="3"/>
  <c r="G28" i="3"/>
  <c r="F28" i="3"/>
  <c r="E28" i="3"/>
  <c r="D28" i="3"/>
  <c r="C28" i="3"/>
  <c r="B28" i="3"/>
  <c r="A28" i="3"/>
  <c r="J27" i="3"/>
  <c r="I27" i="3"/>
  <c r="H27" i="3"/>
  <c r="G27" i="3"/>
  <c r="F27" i="3"/>
  <c r="E27" i="3"/>
  <c r="D27" i="3"/>
  <c r="C27" i="3"/>
  <c r="B27" i="3"/>
  <c r="A27" i="3"/>
  <c r="J26" i="3"/>
  <c r="I26" i="3"/>
  <c r="H26" i="3"/>
  <c r="G26" i="3"/>
  <c r="F26" i="3"/>
  <c r="E26" i="3"/>
  <c r="D26" i="3"/>
  <c r="C26" i="3"/>
  <c r="B26" i="3"/>
  <c r="A26" i="3"/>
  <c r="J25" i="3"/>
  <c r="I25" i="3"/>
  <c r="H25" i="3"/>
  <c r="G25" i="3"/>
  <c r="F25" i="3"/>
  <c r="E25" i="3"/>
  <c r="D25" i="3"/>
  <c r="C25" i="3"/>
  <c r="B25" i="3"/>
  <c r="A25" i="3"/>
  <c r="J24" i="3"/>
  <c r="I24" i="3"/>
  <c r="H24" i="3"/>
  <c r="G24" i="3"/>
  <c r="F24" i="3"/>
  <c r="E24" i="3"/>
  <c r="D24" i="3"/>
  <c r="C24" i="3"/>
  <c r="B24" i="3"/>
  <c r="A24" i="3"/>
  <c r="J23" i="3"/>
  <c r="I23" i="3"/>
  <c r="H23" i="3"/>
  <c r="G23" i="3"/>
  <c r="F23" i="3"/>
  <c r="E23" i="3"/>
  <c r="D23" i="3"/>
  <c r="C23" i="3"/>
  <c r="B23" i="3"/>
  <c r="A23" i="3"/>
  <c r="J22" i="3"/>
  <c r="I22" i="3"/>
  <c r="H22" i="3"/>
  <c r="G22" i="3"/>
  <c r="F22" i="3"/>
  <c r="E22" i="3"/>
  <c r="D22" i="3"/>
  <c r="C6" i="8" s="1"/>
  <c r="C22" i="3"/>
  <c r="B22" i="3"/>
  <c r="A22" i="3"/>
  <c r="J21" i="3"/>
  <c r="I21" i="3"/>
  <c r="H21" i="3"/>
  <c r="G21" i="3"/>
  <c r="F21" i="3"/>
  <c r="E21" i="3"/>
  <c r="D21" i="3"/>
  <c r="C21" i="3"/>
  <c r="B21" i="3"/>
  <c r="A21" i="3"/>
  <c r="J20" i="3"/>
  <c r="I20" i="3"/>
  <c r="H20" i="3"/>
  <c r="G20" i="3"/>
  <c r="F20" i="3"/>
  <c r="E20" i="3"/>
  <c r="D20" i="3"/>
  <c r="C20" i="3"/>
  <c r="B20" i="3"/>
  <c r="A20" i="3"/>
  <c r="J19" i="3"/>
  <c r="I19" i="3"/>
  <c r="H19" i="3"/>
  <c r="G19" i="3"/>
  <c r="F19" i="3"/>
  <c r="E19" i="3"/>
  <c r="D19" i="3"/>
  <c r="C19" i="3"/>
  <c r="B19" i="3"/>
  <c r="A19" i="3"/>
  <c r="J18" i="3"/>
  <c r="I18" i="3"/>
  <c r="H18" i="3"/>
  <c r="G18" i="3"/>
  <c r="F18" i="3"/>
  <c r="E18" i="3"/>
  <c r="D18" i="3"/>
  <c r="C10" i="8" s="1"/>
  <c r="C18" i="3"/>
  <c r="B18" i="3"/>
  <c r="A18" i="3"/>
  <c r="J17" i="3"/>
  <c r="I17" i="3"/>
  <c r="H17" i="3"/>
  <c r="G17" i="3"/>
  <c r="F17" i="3"/>
  <c r="E17" i="3"/>
  <c r="D17" i="3"/>
  <c r="C17" i="3"/>
  <c r="B17" i="3"/>
  <c r="A17" i="3"/>
  <c r="J16" i="3"/>
  <c r="I16" i="3"/>
  <c r="H16" i="3"/>
  <c r="G16" i="3"/>
  <c r="F16" i="3"/>
  <c r="E16" i="3"/>
  <c r="D16" i="3"/>
  <c r="C16" i="3"/>
  <c r="B16" i="3"/>
  <c r="A16" i="3"/>
  <c r="J15" i="3"/>
  <c r="E7" i="3" s="1"/>
  <c r="I15" i="3"/>
  <c r="H15" i="3"/>
  <c r="G15" i="3"/>
  <c r="F15" i="3"/>
  <c r="E15" i="3"/>
  <c r="D15" i="3"/>
  <c r="C15" i="3"/>
  <c r="B15" i="3"/>
  <c r="A15" i="3"/>
  <c r="J14" i="3"/>
  <c r="I14" i="3"/>
  <c r="H14" i="3"/>
  <c r="G14" i="3"/>
  <c r="F14" i="3"/>
  <c r="E14" i="3"/>
  <c r="D14" i="3"/>
  <c r="F4" i="6" s="1"/>
  <c r="C14" i="3"/>
  <c r="B14" i="3"/>
  <c r="A14" i="3"/>
  <c r="J13" i="3"/>
  <c r="I13" i="3"/>
  <c r="H13" i="3"/>
  <c r="G13" i="3"/>
  <c r="F13" i="3"/>
  <c r="E6" i="3" s="1"/>
  <c r="E13" i="3"/>
  <c r="D13" i="3"/>
  <c r="C13" i="3"/>
  <c r="B13" i="3"/>
  <c r="A13" i="3"/>
  <c r="J12" i="3"/>
  <c r="E17" i="7" s="1"/>
  <c r="I12" i="3"/>
  <c r="C16" i="7" s="1"/>
  <c r="H12" i="3"/>
  <c r="H17" i="8" s="1"/>
  <c r="G12" i="3"/>
  <c r="G14" i="7" s="1"/>
  <c r="F12" i="3"/>
  <c r="E13" i="7" s="1"/>
  <c r="E12" i="3"/>
  <c r="C12" i="7" s="1"/>
  <c r="D12" i="3"/>
  <c r="E6" i="6" s="1"/>
  <c r="C12" i="3"/>
  <c r="F16" i="8" s="1"/>
  <c r="B12" i="3"/>
  <c r="E5" i="3" s="1"/>
  <c r="A12" i="3"/>
  <c r="E4" i="3" s="1"/>
  <c r="E8" i="3"/>
  <c r="G5" i="4" l="1"/>
  <c r="G9" i="4"/>
  <c r="D7" i="5"/>
  <c r="F6" i="6"/>
  <c r="B15" i="7"/>
  <c r="E7" i="8"/>
  <c r="E11" i="8"/>
  <c r="E15" i="8"/>
  <c r="F4" i="4"/>
  <c r="B6" i="4"/>
  <c r="D7" i="4"/>
  <c r="F8" i="4"/>
  <c r="B4" i="5"/>
  <c r="C5" i="5"/>
  <c r="D6" i="5"/>
  <c r="E7" i="5"/>
  <c r="F8" i="5"/>
  <c r="G4" i="6"/>
  <c r="G5" i="6"/>
  <c r="G6" i="6"/>
  <c r="E12" i="7"/>
  <c r="G13" i="7"/>
  <c r="C15" i="7"/>
  <c r="E16" i="7"/>
  <c r="G17" i="7"/>
  <c r="D6" i="8"/>
  <c r="F7" i="8"/>
  <c r="H8" i="8"/>
  <c r="D10" i="8"/>
  <c r="F11" i="8"/>
  <c r="H12" i="8"/>
  <c r="D14" i="8"/>
  <c r="F15" i="8"/>
  <c r="H16" i="8"/>
  <c r="G16" i="8"/>
  <c r="G4" i="4"/>
  <c r="C6" i="4"/>
  <c r="E7" i="4"/>
  <c r="G8" i="4"/>
  <c r="C4" i="5"/>
  <c r="D5" i="5"/>
  <c r="E6" i="5"/>
  <c r="F7" i="5"/>
  <c r="G8" i="5"/>
  <c r="H4" i="6"/>
  <c r="H5" i="6"/>
  <c r="H6" i="6"/>
  <c r="F12" i="7"/>
  <c r="B14" i="7"/>
  <c r="D15" i="7"/>
  <c r="F16" i="7"/>
  <c r="C5" i="8"/>
  <c r="E6" i="8"/>
  <c r="G7" i="8"/>
  <c r="C9" i="8"/>
  <c r="E10" i="8"/>
  <c r="G11" i="8"/>
  <c r="C13" i="8"/>
  <c r="E14" i="8"/>
  <c r="G15" i="8"/>
  <c r="C7" i="4"/>
  <c r="G8" i="8"/>
  <c r="B5" i="4"/>
  <c r="D6" i="4"/>
  <c r="F7" i="4"/>
  <c r="B9" i="4"/>
  <c r="D4" i="5"/>
  <c r="E5" i="5"/>
  <c r="F6" i="5"/>
  <c r="G7" i="5"/>
  <c r="H8" i="5"/>
  <c r="G12" i="7"/>
  <c r="C14" i="7"/>
  <c r="E15" i="7"/>
  <c r="G16" i="7"/>
  <c r="D5" i="8"/>
  <c r="F6" i="8"/>
  <c r="H7" i="8"/>
  <c r="D9" i="8"/>
  <c r="F10" i="8"/>
  <c r="H11" i="8"/>
  <c r="D13" i="8"/>
  <c r="F14" i="8"/>
  <c r="H15" i="8"/>
  <c r="D17" i="8"/>
  <c r="C5" i="4"/>
  <c r="E6" i="4"/>
  <c r="G7" i="4"/>
  <c r="C9" i="4"/>
  <c r="E4" i="5"/>
  <c r="F5" i="5"/>
  <c r="G6" i="5"/>
  <c r="H7" i="5"/>
  <c r="B4" i="6"/>
  <c r="B5" i="6"/>
  <c r="B6" i="6"/>
  <c r="C3" i="7"/>
  <c r="C5" i="7" s="1"/>
  <c r="B13" i="7"/>
  <c r="D14" i="7"/>
  <c r="F15" i="7"/>
  <c r="B17" i="7"/>
  <c r="E5" i="8"/>
  <c r="G6" i="8"/>
  <c r="C8" i="8"/>
  <c r="E9" i="8"/>
  <c r="G10" i="8"/>
  <c r="C12" i="8"/>
  <c r="E13" i="8"/>
  <c r="G14" i="8"/>
  <c r="C16" i="8"/>
  <c r="F5" i="6"/>
  <c r="F17" i="7"/>
  <c r="G12" i="8"/>
  <c r="D5" i="4"/>
  <c r="F6" i="4"/>
  <c r="B8" i="4"/>
  <c r="D9" i="4"/>
  <c r="F4" i="5"/>
  <c r="G5" i="5"/>
  <c r="H6" i="5"/>
  <c r="C4" i="6"/>
  <c r="C5" i="6"/>
  <c r="C6" i="6"/>
  <c r="C13" i="7"/>
  <c r="E14" i="7"/>
  <c r="G15" i="7"/>
  <c r="C17" i="7"/>
  <c r="F5" i="8"/>
  <c r="H6" i="8"/>
  <c r="D8" i="8"/>
  <c r="F9" i="8"/>
  <c r="H10" i="8"/>
  <c r="D12" i="8"/>
  <c r="F13" i="8"/>
  <c r="H14" i="8"/>
  <c r="D16" i="8"/>
  <c r="F17" i="8"/>
  <c r="F13" i="7"/>
  <c r="E5" i="4"/>
  <c r="G6" i="4"/>
  <c r="C8" i="4"/>
  <c r="E9" i="4"/>
  <c r="G4" i="5"/>
  <c r="H5" i="5"/>
  <c r="B7" i="5"/>
  <c r="D4" i="6"/>
  <c r="D5" i="6"/>
  <c r="D6" i="6"/>
  <c r="B12" i="7"/>
  <c r="D13" i="7"/>
  <c r="F14" i="7"/>
  <c r="B16" i="7"/>
  <c r="D17" i="7"/>
  <c r="G5" i="8"/>
  <c r="C7" i="8"/>
  <c r="E8" i="8"/>
  <c r="G9" i="8"/>
  <c r="C11" i="8"/>
  <c r="E12" i="8"/>
  <c r="G13" i="8"/>
  <c r="C15" i="8"/>
  <c r="E16" i="8"/>
  <c r="G17" i="8"/>
  <c r="F5" i="4"/>
  <c r="B7" i="4"/>
  <c r="D8" i="4"/>
  <c r="F9" i="4"/>
  <c r="H4" i="5"/>
  <c r="B6" i="5"/>
  <c r="C7" i="5"/>
  <c r="D8" i="5"/>
  <c r="E4" i="6"/>
  <c r="I4" i="6" s="1"/>
  <c r="E5" i="6"/>
  <c r="H5" i="8"/>
  <c r="D7" i="8"/>
  <c r="F8" i="8"/>
  <c r="H9" i="8"/>
  <c r="D11" i="8"/>
  <c r="F12" i="8"/>
  <c r="H13" i="8"/>
  <c r="D15" i="8"/>
  <c r="B8" i="5" l="1"/>
  <c r="C17" i="8"/>
  <c r="I5" i="6"/>
  <c r="I6" i="6"/>
  <c r="C4" i="4"/>
</calcChain>
</file>

<file path=xl/sharedStrings.xml><?xml version="1.0" encoding="utf-8"?>
<sst xmlns="http://schemas.openxmlformats.org/spreadsheetml/2006/main" count="358" uniqueCount="155">
  <si>
    <t>Record_ID</t>
  </si>
  <si>
    <t>Day</t>
  </si>
  <si>
    <t>Course</t>
  </si>
  <si>
    <t>Lab_Room</t>
  </si>
  <si>
    <t>Students_Present</t>
  </si>
  <si>
    <t>Computers_Used</t>
  </si>
  <si>
    <t>Hours_Used</t>
  </si>
  <si>
    <t>Equipment_Issues</t>
  </si>
  <si>
    <t>Internet_Downtime_Minutes</t>
  </si>
  <si>
    <t>Instructor_Rating</t>
  </si>
  <si>
    <t>L7000</t>
  </si>
  <si>
    <t>Programming</t>
  </si>
  <si>
    <t>Lab 3</t>
  </si>
  <si>
    <t>L7001</t>
  </si>
  <si>
    <t>Web Development</t>
  </si>
  <si>
    <t>Lab 2</t>
  </si>
  <si>
    <t>L7002</t>
  </si>
  <si>
    <t>L7003</t>
  </si>
  <si>
    <t>Networking</t>
  </si>
  <si>
    <t>L7004</t>
  </si>
  <si>
    <t>Lab 1</t>
  </si>
  <si>
    <t>L7005</t>
  </si>
  <si>
    <t>DBMS</t>
  </si>
  <si>
    <t>L7006</t>
  </si>
  <si>
    <t>L7007</t>
  </si>
  <si>
    <t>L7008</t>
  </si>
  <si>
    <t>L7009</t>
  </si>
  <si>
    <t>L7010</t>
  </si>
  <si>
    <t>L7011</t>
  </si>
  <si>
    <t>L7012</t>
  </si>
  <si>
    <t>L7013</t>
  </si>
  <si>
    <t>L7014</t>
  </si>
  <si>
    <t>L7015</t>
  </si>
  <si>
    <t>L7016</t>
  </si>
  <si>
    <t>L7017</t>
  </si>
  <si>
    <t>L7018</t>
  </si>
  <si>
    <t>L7019</t>
  </si>
  <si>
    <t>L7020</t>
  </si>
  <si>
    <t>L7021</t>
  </si>
  <si>
    <t>L7022</t>
  </si>
  <si>
    <t>L7023</t>
  </si>
  <si>
    <t>L7024</t>
  </si>
  <si>
    <t>L7025</t>
  </si>
  <si>
    <t>L7026</t>
  </si>
  <si>
    <t>L7027</t>
  </si>
  <si>
    <t>L7028</t>
  </si>
  <si>
    <t>L7029</t>
  </si>
  <si>
    <t>L7030</t>
  </si>
  <si>
    <t>L7031</t>
  </si>
  <si>
    <t>L7032</t>
  </si>
  <si>
    <t>L7033</t>
  </si>
  <si>
    <t>L7034</t>
  </si>
  <si>
    <t>L7035</t>
  </si>
  <si>
    <t>L7036</t>
  </si>
  <si>
    <t>L7037</t>
  </si>
  <si>
    <t>L7038</t>
  </si>
  <si>
    <t>L7039</t>
  </si>
  <si>
    <t>L7040</t>
  </si>
  <si>
    <t>L7041</t>
  </si>
  <si>
    <t>L7042</t>
  </si>
  <si>
    <t>L7043</t>
  </si>
  <si>
    <t>L7044</t>
  </si>
  <si>
    <t>L7045</t>
  </si>
  <si>
    <t>L7046</t>
  </si>
  <si>
    <t>L7047</t>
  </si>
  <si>
    <t>L7048</t>
  </si>
  <si>
    <t>L7049</t>
  </si>
  <si>
    <t>DATA DICTIONARY — School Computer Laboratory Analysis</t>
  </si>
  <si>
    <t>Variable</t>
  </si>
  <si>
    <t>Data Type</t>
  </si>
  <si>
    <t>Description</t>
  </si>
  <si>
    <t>Example / Valid Range</t>
  </si>
  <si>
    <t>Text</t>
  </si>
  <si>
    <t>Unique identifier assigned to each laboratory session record.</t>
  </si>
  <si>
    <t>L7000 - L7049 (50 unique IDs)</t>
  </si>
  <si>
    <t>Numeric (Integer)</t>
  </si>
  <si>
    <t>Sequential day number on which the laboratory session took place.</t>
  </si>
  <si>
    <t>1 - 50</t>
  </si>
  <si>
    <t>Text (Categorical)</t>
  </si>
  <si>
    <t>Academic course/subject the laboratory session was used for.</t>
  </si>
  <si>
    <t>Programming, Web Development, Networking, DBMS</t>
  </si>
  <si>
    <t>Computer laboratory room where the session was held.</t>
  </si>
  <si>
    <t>Lab 1, Lab 2, Lab 3</t>
  </si>
  <si>
    <t>Number of students who attended the laboratory session.</t>
  </si>
  <si>
    <t>15 - 40 students</t>
  </si>
  <si>
    <t>Number of computers actually used/occupied during the session.</t>
  </si>
  <si>
    <t>15 - 39 units (must be ≤ Students_Present)</t>
  </si>
  <si>
    <t>Number of hours the laboratory was used during the session.</t>
  </si>
  <si>
    <t>1 - 4 hours</t>
  </si>
  <si>
    <t>Count of equipment-related problems reported during the session (e.g., dead units, peripherals).</t>
  </si>
  <si>
    <t>0 - 4 issues</t>
  </si>
  <si>
    <t>Number of minutes the internet connection was down/unavailable during the session.</t>
  </si>
  <si>
    <t>1 - 59 minutes</t>
  </si>
  <si>
    <t>Numeric (Decimal)</t>
  </si>
  <si>
    <t>Instructor's satisfaction rating of the laboratory session/facility.</t>
  </si>
  <si>
    <t>1.0 - 5.0 (5 = highest satisfaction)</t>
  </si>
  <si>
    <t>DATA CLEANING LOG</t>
  </si>
  <si>
    <t>Check performed</t>
  </si>
  <si>
    <t>Live result</t>
  </si>
  <si>
    <t>Duplicate Record_ID check</t>
  </si>
  <si>
    <t>Missing / blank values check</t>
  </si>
  <si>
    <t>Invalid value – Computers_Used &gt; Students_Present</t>
  </si>
  <si>
    <t>Invalid value – Instructor_Rating outside 1-5 range</t>
  </si>
  <si>
    <t>Invalid value – negative Hours/Equipment/Downtime</t>
  </si>
  <si>
    <t>Conclusion</t>
  </si>
  <si>
    <t>Raw data was already well-formed: no duplicates, no blanks, and no logically invalid values were found. No rows were removed or altered; the table below is the verified, analysis-ready dataset used for all subsequent tasks.</t>
  </si>
  <si>
    <t>VERIFIED / CLEANED DATASET (50 records)</t>
  </si>
  <si>
    <t>DESCRIPTIVE STATISTICS — Laboratory Usage Variables</t>
  </si>
  <si>
    <t>Mean</t>
  </si>
  <si>
    <t>Median</t>
  </si>
  <si>
    <t>Minimum</t>
  </si>
  <si>
    <t>Maximum</t>
  </si>
  <si>
    <t>Std. Deviation</t>
  </si>
  <si>
    <t>Total (Sum)</t>
  </si>
  <si>
    <t>LABORATORY USAGE ANALYSIS BY COURSE</t>
  </si>
  <si>
    <t>Number of Sessions</t>
  </si>
  <si>
    <t>Avg. Students Present</t>
  </si>
  <si>
    <t>Avg. Computers Used</t>
  </si>
  <si>
    <t>Avg. Hours Used</t>
  </si>
  <si>
    <t>Total Hours Used</t>
  </si>
  <si>
    <t>Avg. Internet Downtime (min)</t>
  </si>
  <si>
    <t>Avg. Instructor Rating</t>
  </si>
  <si>
    <t>TOTAL / OVERALL</t>
  </si>
  <si>
    <t>Interpretation:</t>
  </si>
  <si>
    <t>DBMS sessions have the highest average number of students present and the highest average number of computers used per session, indicating it is the most heavily attended/utilized course in the labs. Programming sessions run for the most hours on average, while Web Development sessions run the fewest average hours despite a mid-range number of students, suggesting shorter, more frequent lab sessions for that course.</t>
  </si>
  <si>
    <t>LABORATORY ROOM UTILIZATION ANALYSIS</t>
  </si>
  <si>
    <t>Lab Room</t>
  </si>
  <si>
    <t>Total Computers Used</t>
  </si>
  <si>
    <t>Total Equipment Issues</t>
  </si>
  <si>
    <t>Highest Computer Usage?</t>
  </si>
  <si>
    <t>Lab 1 hosts the most sessions (20 of 50) and records both the highest average and highest total number of computers used, making it the busiest and most heavily utilized laboratory. Lab 1 also carries the highest total equipment issues, which is consistent with it being the most heavily used room. Lab 3, despite having fewer sessions, shows a comparable average internet downtime, suggesting its network problems are not purely a function of usage volume and may point to a room-specific infrastructure issue.</t>
  </si>
  <si>
    <t>CORRELATION ANALYSIS — Internet Downtime vs. Instructor Rating</t>
  </si>
  <si>
    <t>Strength / Direction:</t>
  </si>
  <si>
    <t>Supporting Correlation Matrix (all numeric variables)</t>
  </si>
  <si>
    <t>PIVOTTABLE SUMMARY — Course x Lab Room</t>
  </si>
  <si>
    <t>GRAND TOTAL</t>
  </si>
  <si>
    <t>VISUAL ANALYSIS</t>
  </si>
  <si>
    <t>OPERATIONAL FINDINGS &amp; RECOMMENDATIONS</t>
  </si>
  <si>
    <t>Top 5 Sessions Requiring Attention (Highest Internet Downtime)</t>
  </si>
  <si>
    <t>Internet Downtime (min)</t>
  </si>
  <si>
    <t>Equipment Issues</t>
  </si>
  <si>
    <t>Instructor Rating</t>
  </si>
  <si>
    <t>Patterns &amp; Operational Issues Identified</t>
  </si>
  <si>
    <t>Evidence-Based Recommendations</t>
  </si>
  <si>
    <t>1. Internet reliability is the reason instructors are unhappy. When there is downtime instructor ratings drop sharply. Sessions that have than 40 minutes of downtime always score below 3.0.</t>
  </si>
  <si>
    <t>2. Lab 1 is the room. It hosts 20 out of 50 sessions uses the computers on average and in total. Lab 1 also reports the equipment problems. The heavy use is wearing Lab 1’s hardware faster than rooms.</t>
  </si>
  <si>
    <t>3. DBMS sessions have the class sizes, about 31.5 students on average. They use the computers on average. These sessions put the load on lab hardware and network bandwidth at the same time.</t>
  </si>
  <si>
    <t>4. Web Development sessions are the shortest, 2.0 hours on average. So they still experience real downtime and equipment problems. This shows that infrastructure issues are not just about how a room is used.</t>
  </si>
  <si>
    <t>5. Equipment problems and internet downtime do not always match up in every room. For example Lab 3 has sessions but its downtime is similar to that of busier rooms. This points to a room‑specific network or infrastructure weakness that is not linked to overuse.</t>
  </si>
  <si>
    <t>1. First upgrade the network in Lab 3 and Lab 1. Add an ISP link or a failover connection. These two rooms have the internet downtime on average and the most frequent downtime. Downtime is the factor that leads to low instructor ratings.</t>
  </si>
  <si>
    <t>2. Next set up a maintenance schedule for Lab 1. Because Lab 1 has sessions and more equipment problems the schedule should match its heavy daily use. Lab 1 uses the computers on average and in total.</t>
  </si>
  <si>
    <t>3. Move the DBMS sections, which have about 31.5 students on average to a lab room that has the most reliable equipment and network uptime.. Limit the size of DBMS sections. This will lower the strain on computers and bandwidth during those sessions.</t>
  </si>
  <si>
    <t>4. Set up a real‑time issue‑logging and monitoring system, like a ticket for each session. Log equipment. Downtime as they happen. This lets IT staff spot recurring room‑specific problems faster, than waiting for a review.</t>
  </si>
  <si>
    <t xml:space="preserve">Pearson Correlation Coefficient (r): </t>
  </si>
  <si>
    <t>The correlation coefficient shows a negative relationship between Internet Downtime and Instructor Rating (r ≈ -0.80). This means that as internet downtime increases during a laboratory session the instructors satisfaction rating for that session tends to decrease and vice versa. In terms unreliable internet connectivity is one of the strongest drivers of low instructor satisfaction with laboratory sessions. More so than equipment issues alone. And should be treated as a priority area, for operational improvement.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</si>
</sst>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3" x14ac:knownFonts="1">
    <font>
      <sz val="11"/>
      <color theme="1"/>
      <name val="Calibri"/>
      <family val="2"/>
      <charset val="1"/>
    </font>
    <font>
      <b/>
      <sz val="11"/>
      <color rgb="FFFFFFFF"/>
      <name val="Arial"/>
      <charset val="1"/>
    </font>
    <font>
      <sz val="10"/>
      <name val="Arial"/>
      <charset val="1"/>
    </font>
    <font>
      <b/>
      <sz val="14"/>
      <color rgb="FF1F4E78"/>
      <name val="Arial"/>
      <charset val="1"/>
    </font>
    <font>
      <b/>
      <sz val="10"/>
      <name val="Arial"/>
      <charset val="1"/>
    </font>
    <font>
      <i/>
      <sz val="9"/>
      <color rgb="FF555555"/>
      <name val="Arial"/>
      <charset val="1"/>
    </font>
    <font>
      <sz val="9"/>
      <name val="Arial"/>
      <charset val="1"/>
    </font>
    <font>
      <i/>
      <sz val="9"/>
      <name val="Arial"/>
      <charset val="1"/>
    </font>
    <font>
      <b/>
      <sz val="11"/>
      <color rgb="FF1F4E78"/>
      <name val="Arial"/>
      <charset val="1"/>
    </font>
    <font>
      <b/>
      <sz val="12"/>
      <color rgb="FFC00000"/>
      <name val="Arial"/>
      <charset val="1"/>
    </font>
    <font>
      <sz val="10"/>
      <name val="Arial"/>
      <family val="2"/>
    </font>
    <font>
      <b/>
      <sz val="11"/>
      <color rgb="FF1F4E78"/>
      <name val="Arial"/>
      <family val="2"/>
    </font>
    <font>
      <b/>
      <sz val="10"/>
      <name val="Arial"/>
      <family val="2"/>
    </font>
  </fonts>
  <fills count="4">
    <fill>
      <patternFill patternType="none"/>
    </fill>
    <fill>
      <patternFill patternType="gray125"/>
    </fill>
    <fill>
      <patternFill patternType="solid">
        <fgColor rgb="FF1F4E78"/>
        <bgColor rgb="FF003366"/>
      </patternFill>
    </fill>
    <fill>
      <patternFill patternType="solid">
        <fgColor rgb="FFD9E1F2"/>
        <bgColor rgb="FFD9D9D9"/>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31">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xf>
    <xf numFmtId="0" fontId="2" fillId="0" borderId="1" xfId="0" applyFont="1" applyBorder="1"/>
    <xf numFmtId="0" fontId="4" fillId="0" borderId="1" xfId="0" applyFont="1" applyBorder="1"/>
    <xf numFmtId="0" fontId="5" fillId="0" borderId="0" xfId="0" applyFont="1"/>
    <xf numFmtId="0" fontId="8" fillId="0" borderId="0" xfId="0" applyFont="1"/>
    <xf numFmtId="2" fontId="2" fillId="0" borderId="1" xfId="0" applyNumberFormat="1" applyFont="1" applyBorder="1" applyAlignment="1">
      <alignment horizontal="center"/>
    </xf>
    <xf numFmtId="0" fontId="4" fillId="3" borderId="1" xfId="0" applyFont="1" applyFill="1" applyBorder="1"/>
    <xf numFmtId="2" fontId="4" fillId="3" borderId="1" xfId="0" applyNumberFormat="1" applyFont="1" applyFill="1" applyBorder="1" applyAlignment="1">
      <alignment horizontal="center"/>
    </xf>
    <xf numFmtId="0" fontId="4" fillId="0" borderId="0" xfId="0" applyFont="1"/>
    <xf numFmtId="164" fontId="9" fillId="0" borderId="0" xfId="0" applyNumberFormat="1" applyFont="1"/>
    <xf numFmtId="0" fontId="2" fillId="0" borderId="0" xfId="0" applyFont="1"/>
    <xf numFmtId="0" fontId="4" fillId="3" borderId="1" xfId="0" applyFont="1" applyFill="1" applyBorder="1" applyAlignment="1">
      <alignment horizontal="center"/>
    </xf>
    <xf numFmtId="0" fontId="3" fillId="0" borderId="0" xfId="0" applyFont="1"/>
    <xf numFmtId="0" fontId="0" fillId="0" borderId="0" xfId="0" applyFont="1"/>
    <xf numFmtId="0" fontId="10" fillId="0" borderId="0" xfId="0" applyFont="1" applyBorder="1" applyAlignment="1">
      <alignment vertical="top" wrapText="1"/>
    </xf>
    <xf numFmtId="0" fontId="11" fillId="0" borderId="0" xfId="0" applyFont="1" applyBorder="1"/>
    <xf numFmtId="0" fontId="12" fillId="0" borderId="0" xfId="0" applyFont="1"/>
    <xf numFmtId="0" fontId="3" fillId="0" borderId="0" xfId="0" applyFont="1" applyBorder="1"/>
    <xf numFmtId="0" fontId="6" fillId="0" borderId="0" xfId="0" applyFont="1" applyBorder="1" applyAlignment="1">
      <alignment vertical="center" wrapText="1"/>
    </xf>
    <xf numFmtId="0" fontId="7" fillId="0" borderId="0" xfId="0" applyFont="1" applyBorder="1" applyAlignment="1">
      <alignment vertical="center" wrapText="1"/>
    </xf>
    <xf numFmtId="0" fontId="4" fillId="3" borderId="0" xfId="0" applyFont="1" applyFill="1" applyBorder="1"/>
    <xf numFmtId="0" fontId="5" fillId="0" borderId="0" xfId="0" applyFont="1" applyBorder="1" applyAlignment="1">
      <alignment wrapText="1"/>
    </xf>
    <xf numFmtId="0" fontId="10" fillId="0" borderId="0" xfId="0" applyFont="1" applyBorder="1" applyAlignment="1">
      <alignment vertical="top" wrapText="1"/>
    </xf>
    <xf numFmtId="0" fontId="2" fillId="0" borderId="0" xfId="0" applyFont="1" applyBorder="1" applyAlignment="1">
      <alignment vertical="top" wrapText="1"/>
    </xf>
    <xf numFmtId="0" fontId="5" fillId="0" borderId="0" xfId="0" applyFont="1" applyBorder="1"/>
    <xf numFmtId="0" fontId="4" fillId="3" borderId="1" xfId="0" applyFont="1" applyFill="1" applyBorder="1" applyAlignment="1">
      <alignment horizontal="center"/>
    </xf>
    <xf numFmtId="0" fontId="11" fillId="0" borderId="0" xfId="0" applyFont="1" applyBorder="1"/>
    <xf numFmtId="0" fontId="8" fillId="0" borderId="0" xfId="0" applyFont="1" applyBorder="1"/>
    <xf numFmtId="0" fontId="2" fillId="0" borderId="0" xfId="0" applyFont="1" applyFill="1" applyBorder="1"/>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7B7B7"/>
      <rgbColor rgb="FF878787"/>
      <rgbColor rgb="FF9999FF"/>
      <rgbColor rgb="FFC0504D"/>
      <rgbColor rgb="FFF9F9F9"/>
      <rgbColor rgb="FFD9E1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9CC00"/>
      <rgbColor rgb="FFFFCC00"/>
      <rgbColor rgb="FFFF9900"/>
      <rgbColor rgb="FFFF6600"/>
      <rgbColor rgb="FF8064A2"/>
      <rgbColor rgb="FF969696"/>
      <rgbColor rgb="FF003366"/>
      <rgbColor rgb="FF339966"/>
      <rgbColor rgb="FF003300"/>
      <rgbColor rgb="FF333300"/>
      <rgbColor rgb="FF993300"/>
      <rgbColor rgb="FF993366"/>
      <rgbColor rgb="FF1F4E78"/>
      <rgbColor rgb="FF555555"/>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Average Computers Used by Lab Room</a:t>
            </a:r>
          </a:p>
        </c:rich>
      </c:tx>
      <c:overlay val="0"/>
      <c:spPr>
        <a:noFill/>
        <a:ln w="0">
          <a:noFill/>
        </a:ln>
      </c:spPr>
    </c:title>
    <c:autoTitleDeleted val="0"/>
    <c:plotArea>
      <c:layout/>
      <c:barChart>
        <c:barDir val="col"/>
        <c:grouping val="clustered"/>
        <c:varyColors val="0"/>
        <c:ser>
          <c:idx val="0"/>
          <c:order val="0"/>
          <c:tx>
            <c:strRef>
              <c:f>LabRoom_Analysis!$D$3</c:f>
              <c:strCache>
                <c:ptCount val="1"/>
                <c:pt idx="0">
                  <c:v>Avg. Computers Used</c:v>
                </c:pt>
              </c:strCache>
            </c:strRef>
          </c:tx>
          <c:spPr>
            <a:solidFill>
              <a:srgbClr val="4F81BD"/>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LabRoom_Analysis!$A$4:$A$6</c:f>
              <c:strCache>
                <c:ptCount val="3"/>
                <c:pt idx="0">
                  <c:v>Lab 1</c:v>
                </c:pt>
                <c:pt idx="1">
                  <c:v>Lab 2</c:v>
                </c:pt>
                <c:pt idx="2">
                  <c:v>Lab 3</c:v>
                </c:pt>
              </c:strCache>
            </c:strRef>
          </c:cat>
          <c:val>
            <c:numRef>
              <c:f>LabRoom_Analysis!$D$4:$D$6</c:f>
              <c:numCache>
                <c:formatCode>0.00</c:formatCode>
                <c:ptCount val="3"/>
                <c:pt idx="0">
                  <c:v>25.75</c:v>
                </c:pt>
                <c:pt idx="1">
                  <c:v>23.6</c:v>
                </c:pt>
                <c:pt idx="2">
                  <c:v>22.066666666666666</c:v>
                </c:pt>
              </c:numCache>
            </c:numRef>
          </c:val>
          <c:extLst>
            <c:ext xmlns:c16="http://schemas.microsoft.com/office/drawing/2014/chart" uri="{C3380CC4-5D6E-409C-BE32-E72D297353CC}">
              <c16:uniqueId val="{00000000-0BAD-412A-855E-BEC041F0DB7C}"/>
            </c:ext>
          </c:extLst>
        </c:ser>
        <c:dLbls>
          <c:showLegendKey val="0"/>
          <c:showVal val="0"/>
          <c:showCatName val="0"/>
          <c:showSerName val="0"/>
          <c:showPercent val="0"/>
          <c:showBubbleSize val="0"/>
        </c:dLbls>
        <c:gapWidth val="150"/>
        <c:axId val="4169175"/>
        <c:axId val="45816311"/>
      </c:barChart>
      <c:catAx>
        <c:axId val="4169175"/>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Lab Room</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5816311"/>
        <c:crosses val="autoZero"/>
        <c:auto val="1"/>
        <c:lblAlgn val="ctr"/>
        <c:lblOffset val="100"/>
        <c:noMultiLvlLbl val="0"/>
      </c:catAx>
      <c:valAx>
        <c:axId val="45816311"/>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Avg. Computers Used</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169175"/>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Average Internet Downtime (min) by Lab Room</a:t>
            </a:r>
          </a:p>
        </c:rich>
      </c:tx>
      <c:overlay val="0"/>
      <c:spPr>
        <a:noFill/>
        <a:ln w="0">
          <a:noFill/>
        </a:ln>
      </c:spPr>
    </c:title>
    <c:autoTitleDeleted val="0"/>
    <c:plotArea>
      <c:layout/>
      <c:barChart>
        <c:barDir val="col"/>
        <c:grouping val="clustered"/>
        <c:varyColors val="0"/>
        <c:ser>
          <c:idx val="0"/>
          <c:order val="0"/>
          <c:tx>
            <c:strRef>
              <c:f>LabRoom_Analysis!$G$3</c:f>
              <c:strCache>
                <c:ptCount val="1"/>
                <c:pt idx="0">
                  <c:v>Avg. Internet Downtime (min)</c:v>
                </c:pt>
              </c:strCache>
            </c:strRef>
          </c:tx>
          <c:spPr>
            <a:solidFill>
              <a:srgbClr val="4F81BD"/>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LabRoom_Analysis!$A$4:$A$6</c:f>
              <c:strCache>
                <c:ptCount val="3"/>
                <c:pt idx="0">
                  <c:v>Lab 1</c:v>
                </c:pt>
                <c:pt idx="1">
                  <c:v>Lab 2</c:v>
                </c:pt>
                <c:pt idx="2">
                  <c:v>Lab 3</c:v>
                </c:pt>
              </c:strCache>
            </c:strRef>
          </c:cat>
          <c:val>
            <c:numRef>
              <c:f>LabRoom_Analysis!$G$4:$G$6</c:f>
              <c:numCache>
                <c:formatCode>0.00</c:formatCode>
                <c:ptCount val="3"/>
                <c:pt idx="0">
                  <c:v>29.7</c:v>
                </c:pt>
                <c:pt idx="1">
                  <c:v>22.333333333333332</c:v>
                </c:pt>
                <c:pt idx="2">
                  <c:v>29.933333333333334</c:v>
                </c:pt>
              </c:numCache>
            </c:numRef>
          </c:val>
          <c:extLst>
            <c:ext xmlns:c16="http://schemas.microsoft.com/office/drawing/2014/chart" uri="{C3380CC4-5D6E-409C-BE32-E72D297353CC}">
              <c16:uniqueId val="{00000000-1109-4133-BF14-B87D68F3E3C2}"/>
            </c:ext>
          </c:extLst>
        </c:ser>
        <c:dLbls>
          <c:showLegendKey val="0"/>
          <c:showVal val="0"/>
          <c:showCatName val="0"/>
          <c:showSerName val="0"/>
          <c:showPercent val="0"/>
          <c:showBubbleSize val="0"/>
        </c:dLbls>
        <c:gapWidth val="150"/>
        <c:axId val="13189344"/>
        <c:axId val="95942185"/>
      </c:barChart>
      <c:catAx>
        <c:axId val="13189344"/>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Lab Room</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5942185"/>
        <c:crosses val="autoZero"/>
        <c:auto val="1"/>
        <c:lblAlgn val="ctr"/>
        <c:lblOffset val="100"/>
        <c:noMultiLvlLbl val="0"/>
      </c:catAx>
      <c:valAx>
        <c:axId val="95942185"/>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Avg. Downtime (min)</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3189344"/>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Total Equipment Issues by Lab Room</a:t>
            </a:r>
          </a:p>
        </c:rich>
      </c:tx>
      <c:overlay val="0"/>
      <c:spPr>
        <a:noFill/>
        <a:ln w="0">
          <a:noFill/>
        </a:ln>
      </c:spPr>
    </c:title>
    <c:autoTitleDeleted val="0"/>
    <c:plotArea>
      <c:layout/>
      <c:barChart>
        <c:barDir val="col"/>
        <c:grouping val="clustered"/>
        <c:varyColors val="0"/>
        <c:ser>
          <c:idx val="0"/>
          <c:order val="0"/>
          <c:tx>
            <c:strRef>
              <c:f>LabRoom_Analysis!$F$3</c:f>
              <c:strCache>
                <c:ptCount val="1"/>
                <c:pt idx="0">
                  <c:v>Total Equipment Issues</c:v>
                </c:pt>
              </c:strCache>
            </c:strRef>
          </c:tx>
          <c:spPr>
            <a:solidFill>
              <a:srgbClr val="C0504D"/>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LabRoom_Analysis!$A$4:$A$6</c:f>
              <c:strCache>
                <c:ptCount val="3"/>
                <c:pt idx="0">
                  <c:v>Lab 1</c:v>
                </c:pt>
                <c:pt idx="1">
                  <c:v>Lab 2</c:v>
                </c:pt>
                <c:pt idx="2">
                  <c:v>Lab 3</c:v>
                </c:pt>
              </c:strCache>
            </c:strRef>
          </c:cat>
          <c:val>
            <c:numRef>
              <c:f>LabRoom_Analysis!$F$4:$F$6</c:f>
              <c:numCache>
                <c:formatCode>0.00</c:formatCode>
                <c:ptCount val="3"/>
                <c:pt idx="0">
                  <c:v>37</c:v>
                </c:pt>
                <c:pt idx="1">
                  <c:v>32</c:v>
                </c:pt>
                <c:pt idx="2">
                  <c:v>40</c:v>
                </c:pt>
              </c:numCache>
            </c:numRef>
          </c:val>
          <c:extLst>
            <c:ext xmlns:c16="http://schemas.microsoft.com/office/drawing/2014/chart" uri="{C3380CC4-5D6E-409C-BE32-E72D297353CC}">
              <c16:uniqueId val="{00000000-B90C-47E0-B728-975E0825D818}"/>
            </c:ext>
          </c:extLst>
        </c:ser>
        <c:dLbls>
          <c:showLegendKey val="0"/>
          <c:showVal val="0"/>
          <c:showCatName val="0"/>
          <c:showSerName val="0"/>
          <c:showPercent val="0"/>
          <c:showBubbleSize val="0"/>
        </c:dLbls>
        <c:gapWidth val="150"/>
        <c:axId val="97755784"/>
        <c:axId val="79800642"/>
      </c:barChart>
      <c:catAx>
        <c:axId val="97755784"/>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Lab Room</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9800642"/>
        <c:crosses val="autoZero"/>
        <c:auto val="1"/>
        <c:lblAlgn val="ctr"/>
        <c:lblOffset val="100"/>
        <c:noMultiLvlLbl val="0"/>
      </c:catAx>
      <c:valAx>
        <c:axId val="79800642"/>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Total Equipment Issues</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7755784"/>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Internet Downtime vs. Instructor Rating (per session)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Cleaned_Data!$J$11</c:f>
              <c:strCache>
                <c:ptCount val="1"/>
                <c:pt idx="0">
                  <c:v>Instructor_Rating</c:v>
                </c:pt>
              </c:strCache>
            </c:strRef>
          </c:tx>
          <c:spPr>
            <a:ln w="25400" cap="rnd">
              <a:noFill/>
              <a:round/>
            </a:ln>
            <a:effectLst/>
          </c:spPr>
          <c:marker>
            <c:symbol val="circle"/>
            <c:size val="6"/>
            <c:spPr>
              <a:gradFill>
                <a:gsLst>
                  <a:gs pos="0">
                    <a:schemeClr val="accent1">
                      <a:shade val="51000"/>
                    </a:schemeClr>
                  </a:gs>
                  <a:gs pos="80000">
                    <a:schemeClr val="accent1">
                      <a:shade val="93000"/>
                    </a:schemeClr>
                  </a:gs>
                  <a:gs pos="100000">
                    <a:schemeClr val="accent1">
                      <a:shade val="94000"/>
                    </a:schemeClr>
                  </a:gs>
                </a:gsLst>
                <a:lin ang="16200000" scaled="0"/>
                <a:tileRect/>
              </a:gradFill>
              <a:ln w="9525" cap="rnd">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Cleaned_Data!$I$12:$I$61</c:f>
              <c:numCache>
                <c:formatCode>General</c:formatCode>
                <c:ptCount val="50"/>
                <c:pt idx="0">
                  <c:v>59</c:v>
                </c:pt>
                <c:pt idx="1">
                  <c:v>43</c:v>
                </c:pt>
                <c:pt idx="2">
                  <c:v>17</c:v>
                </c:pt>
                <c:pt idx="3">
                  <c:v>10</c:v>
                </c:pt>
                <c:pt idx="4">
                  <c:v>52</c:v>
                </c:pt>
                <c:pt idx="5">
                  <c:v>54</c:v>
                </c:pt>
                <c:pt idx="6">
                  <c:v>20</c:v>
                </c:pt>
                <c:pt idx="7">
                  <c:v>45</c:v>
                </c:pt>
                <c:pt idx="8">
                  <c:v>8</c:v>
                </c:pt>
                <c:pt idx="9">
                  <c:v>52</c:v>
                </c:pt>
                <c:pt idx="10">
                  <c:v>26</c:v>
                </c:pt>
                <c:pt idx="11">
                  <c:v>7</c:v>
                </c:pt>
                <c:pt idx="12">
                  <c:v>27</c:v>
                </c:pt>
                <c:pt idx="13">
                  <c:v>10</c:v>
                </c:pt>
                <c:pt idx="14">
                  <c:v>24</c:v>
                </c:pt>
                <c:pt idx="15">
                  <c:v>6</c:v>
                </c:pt>
                <c:pt idx="16">
                  <c:v>7</c:v>
                </c:pt>
                <c:pt idx="17">
                  <c:v>58</c:v>
                </c:pt>
                <c:pt idx="18">
                  <c:v>58</c:v>
                </c:pt>
                <c:pt idx="19">
                  <c:v>52</c:v>
                </c:pt>
                <c:pt idx="20">
                  <c:v>50</c:v>
                </c:pt>
                <c:pt idx="21">
                  <c:v>2</c:v>
                </c:pt>
                <c:pt idx="22">
                  <c:v>22</c:v>
                </c:pt>
                <c:pt idx="23">
                  <c:v>18</c:v>
                </c:pt>
                <c:pt idx="24">
                  <c:v>10</c:v>
                </c:pt>
                <c:pt idx="25">
                  <c:v>36</c:v>
                </c:pt>
                <c:pt idx="26">
                  <c:v>8</c:v>
                </c:pt>
                <c:pt idx="27">
                  <c:v>48</c:v>
                </c:pt>
                <c:pt idx="28">
                  <c:v>43</c:v>
                </c:pt>
                <c:pt idx="29">
                  <c:v>4</c:v>
                </c:pt>
                <c:pt idx="30">
                  <c:v>1</c:v>
                </c:pt>
                <c:pt idx="31">
                  <c:v>20</c:v>
                </c:pt>
                <c:pt idx="32">
                  <c:v>50</c:v>
                </c:pt>
                <c:pt idx="33">
                  <c:v>33</c:v>
                </c:pt>
                <c:pt idx="34">
                  <c:v>8</c:v>
                </c:pt>
                <c:pt idx="35">
                  <c:v>39</c:v>
                </c:pt>
                <c:pt idx="36">
                  <c:v>24</c:v>
                </c:pt>
                <c:pt idx="37">
                  <c:v>11</c:v>
                </c:pt>
                <c:pt idx="38">
                  <c:v>10</c:v>
                </c:pt>
                <c:pt idx="39">
                  <c:v>35</c:v>
                </c:pt>
                <c:pt idx="40">
                  <c:v>33</c:v>
                </c:pt>
                <c:pt idx="41">
                  <c:v>14</c:v>
                </c:pt>
                <c:pt idx="42">
                  <c:v>44</c:v>
                </c:pt>
                <c:pt idx="43">
                  <c:v>18</c:v>
                </c:pt>
                <c:pt idx="44">
                  <c:v>17</c:v>
                </c:pt>
                <c:pt idx="45">
                  <c:v>59</c:v>
                </c:pt>
                <c:pt idx="46">
                  <c:v>1</c:v>
                </c:pt>
                <c:pt idx="47">
                  <c:v>21</c:v>
                </c:pt>
                <c:pt idx="48">
                  <c:v>34</c:v>
                </c:pt>
                <c:pt idx="49">
                  <c:v>30</c:v>
                </c:pt>
              </c:numCache>
            </c:numRef>
          </c:xVal>
          <c:yVal>
            <c:numRef>
              <c:f>Cleaned_Data!$J$12:$J$61</c:f>
              <c:numCache>
                <c:formatCode>General</c:formatCode>
                <c:ptCount val="50"/>
                <c:pt idx="0">
                  <c:v>2.8</c:v>
                </c:pt>
                <c:pt idx="1">
                  <c:v>3</c:v>
                </c:pt>
                <c:pt idx="2">
                  <c:v>3.4</c:v>
                </c:pt>
                <c:pt idx="3">
                  <c:v>4.7</c:v>
                </c:pt>
                <c:pt idx="4">
                  <c:v>2.8</c:v>
                </c:pt>
                <c:pt idx="5">
                  <c:v>2.8</c:v>
                </c:pt>
                <c:pt idx="6">
                  <c:v>3.4</c:v>
                </c:pt>
                <c:pt idx="7">
                  <c:v>3.1</c:v>
                </c:pt>
                <c:pt idx="8">
                  <c:v>5</c:v>
                </c:pt>
                <c:pt idx="9">
                  <c:v>2.8</c:v>
                </c:pt>
                <c:pt idx="10">
                  <c:v>3.5</c:v>
                </c:pt>
                <c:pt idx="11">
                  <c:v>3.3</c:v>
                </c:pt>
                <c:pt idx="12">
                  <c:v>4.3</c:v>
                </c:pt>
                <c:pt idx="13">
                  <c:v>5</c:v>
                </c:pt>
                <c:pt idx="14">
                  <c:v>3.9</c:v>
                </c:pt>
                <c:pt idx="15">
                  <c:v>4.5</c:v>
                </c:pt>
                <c:pt idx="16">
                  <c:v>3.5</c:v>
                </c:pt>
                <c:pt idx="17">
                  <c:v>2.2999999999999998</c:v>
                </c:pt>
                <c:pt idx="18">
                  <c:v>1.9</c:v>
                </c:pt>
                <c:pt idx="19">
                  <c:v>1.9</c:v>
                </c:pt>
                <c:pt idx="20">
                  <c:v>1.7</c:v>
                </c:pt>
                <c:pt idx="21">
                  <c:v>5</c:v>
                </c:pt>
                <c:pt idx="22">
                  <c:v>3.5</c:v>
                </c:pt>
                <c:pt idx="23">
                  <c:v>4</c:v>
                </c:pt>
                <c:pt idx="24">
                  <c:v>4</c:v>
                </c:pt>
                <c:pt idx="25">
                  <c:v>2.6</c:v>
                </c:pt>
                <c:pt idx="26">
                  <c:v>3.8</c:v>
                </c:pt>
                <c:pt idx="27">
                  <c:v>3.3</c:v>
                </c:pt>
                <c:pt idx="28">
                  <c:v>2.9</c:v>
                </c:pt>
                <c:pt idx="29">
                  <c:v>4.2</c:v>
                </c:pt>
                <c:pt idx="30">
                  <c:v>4</c:v>
                </c:pt>
                <c:pt idx="31">
                  <c:v>4.3</c:v>
                </c:pt>
                <c:pt idx="32">
                  <c:v>2.1</c:v>
                </c:pt>
                <c:pt idx="33">
                  <c:v>3.7</c:v>
                </c:pt>
                <c:pt idx="34">
                  <c:v>3.6</c:v>
                </c:pt>
                <c:pt idx="35">
                  <c:v>3.6</c:v>
                </c:pt>
                <c:pt idx="36">
                  <c:v>4.3</c:v>
                </c:pt>
                <c:pt idx="37">
                  <c:v>3.8</c:v>
                </c:pt>
                <c:pt idx="38">
                  <c:v>4.5999999999999996</c:v>
                </c:pt>
                <c:pt idx="39">
                  <c:v>2.6</c:v>
                </c:pt>
                <c:pt idx="40">
                  <c:v>3.6</c:v>
                </c:pt>
                <c:pt idx="41">
                  <c:v>4.0999999999999996</c:v>
                </c:pt>
                <c:pt idx="42">
                  <c:v>3.4</c:v>
                </c:pt>
                <c:pt idx="43">
                  <c:v>4.4000000000000004</c:v>
                </c:pt>
                <c:pt idx="44">
                  <c:v>3.5</c:v>
                </c:pt>
                <c:pt idx="45">
                  <c:v>2.6</c:v>
                </c:pt>
                <c:pt idx="46">
                  <c:v>4.5999999999999996</c:v>
                </c:pt>
                <c:pt idx="47">
                  <c:v>3.9</c:v>
                </c:pt>
                <c:pt idx="48">
                  <c:v>3.2</c:v>
                </c:pt>
                <c:pt idx="49">
                  <c:v>2.1</c:v>
                </c:pt>
              </c:numCache>
            </c:numRef>
          </c:yVal>
          <c:smooth val="1"/>
          <c:extLst>
            <c:ext xmlns:c16="http://schemas.microsoft.com/office/drawing/2014/chart" uri="{C3380CC4-5D6E-409C-BE32-E72D297353CC}">
              <c16:uniqueId val="{00000000-A6C9-4D37-82E5-46AB1266675F}"/>
            </c:ext>
          </c:extLst>
        </c:ser>
        <c:dLbls>
          <c:showLegendKey val="0"/>
          <c:showVal val="0"/>
          <c:showCatName val="0"/>
          <c:showSerName val="0"/>
          <c:showPercent val="0"/>
          <c:showBubbleSize val="0"/>
        </c:dLbls>
        <c:axId val="64750511"/>
        <c:axId val="87534176"/>
      </c:scatterChart>
      <c:valAx>
        <c:axId val="6475051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Internet Downtime (minutes)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34176"/>
        <c:crosses val="autoZero"/>
        <c:crossBetween val="midCat"/>
      </c:valAx>
      <c:valAx>
        <c:axId val="875341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Instructor Rating</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5051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Average Students Present by Course</a:t>
            </a:r>
          </a:p>
        </c:rich>
      </c:tx>
      <c:overlay val="0"/>
      <c:spPr>
        <a:noFill/>
        <a:ln w="0">
          <a:noFill/>
        </a:ln>
      </c:spPr>
    </c:title>
    <c:autoTitleDeleted val="0"/>
    <c:plotArea>
      <c:layout/>
      <c:barChart>
        <c:barDir val="col"/>
        <c:grouping val="clustered"/>
        <c:varyColors val="0"/>
        <c:ser>
          <c:idx val="0"/>
          <c:order val="0"/>
          <c:tx>
            <c:strRef>
              <c:f>Course_Analysis!$C$3</c:f>
              <c:strCache>
                <c:ptCount val="1"/>
                <c:pt idx="0">
                  <c:v>Avg. Students Present</c:v>
                </c:pt>
              </c:strCache>
            </c:strRef>
          </c:tx>
          <c:spPr>
            <a:solidFill>
              <a:srgbClr val="8064A2"/>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Course_Analysis!$A$4:$A$7</c:f>
              <c:strCache>
                <c:ptCount val="4"/>
                <c:pt idx="0">
                  <c:v>DBMS</c:v>
                </c:pt>
                <c:pt idx="1">
                  <c:v>Networking</c:v>
                </c:pt>
                <c:pt idx="2">
                  <c:v>Programming</c:v>
                </c:pt>
                <c:pt idx="3">
                  <c:v>Web Development</c:v>
                </c:pt>
              </c:strCache>
            </c:strRef>
          </c:cat>
          <c:val>
            <c:numRef>
              <c:f>Course_Analysis!$C$4:$C$7</c:f>
              <c:numCache>
                <c:formatCode>0.00</c:formatCode>
                <c:ptCount val="4"/>
                <c:pt idx="0">
                  <c:v>31.5</c:v>
                </c:pt>
                <c:pt idx="1">
                  <c:v>28.058823529411764</c:v>
                </c:pt>
                <c:pt idx="2">
                  <c:v>24.555555555555557</c:v>
                </c:pt>
                <c:pt idx="3">
                  <c:v>27</c:v>
                </c:pt>
              </c:numCache>
            </c:numRef>
          </c:val>
          <c:extLst>
            <c:ext xmlns:c16="http://schemas.microsoft.com/office/drawing/2014/chart" uri="{C3380CC4-5D6E-409C-BE32-E72D297353CC}">
              <c16:uniqueId val="{00000000-22E1-4A50-927A-CFB2D0EED0BB}"/>
            </c:ext>
          </c:extLst>
        </c:ser>
        <c:dLbls>
          <c:showLegendKey val="0"/>
          <c:showVal val="0"/>
          <c:showCatName val="0"/>
          <c:showSerName val="0"/>
          <c:showPercent val="0"/>
          <c:showBubbleSize val="0"/>
        </c:dLbls>
        <c:gapWidth val="150"/>
        <c:axId val="4703593"/>
        <c:axId val="81393999"/>
      </c:barChart>
      <c:catAx>
        <c:axId val="4703593"/>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Course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1393999"/>
        <c:crosses val="autoZero"/>
        <c:auto val="1"/>
        <c:lblAlgn val="ctr"/>
        <c:lblOffset val="100"/>
        <c:noMultiLvlLbl val="0"/>
      </c:catAx>
      <c:valAx>
        <c:axId val="81393999"/>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Avg. Students Present</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703593"/>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160560</xdr:rowOff>
    </xdr:from>
    <xdr:to>
      <xdr:col>8</xdr:col>
      <xdr:colOff>507600</xdr:colOff>
      <xdr:row>18</xdr:row>
      <xdr:rowOff>161640</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1</xdr:row>
      <xdr:rowOff>160560</xdr:rowOff>
    </xdr:from>
    <xdr:to>
      <xdr:col>17</xdr:col>
      <xdr:colOff>507600</xdr:colOff>
      <xdr:row>18</xdr:row>
      <xdr:rowOff>161640</xdr:rowOff>
    </xdr:to>
    <xdr:graphicFrame macro="">
      <xdr:nvGraphicFramePr>
        <xdr:cNvPr id="3" name="Chart 2">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20</xdr:row>
      <xdr:rowOff>160920</xdr:rowOff>
    </xdr:from>
    <xdr:to>
      <xdr:col>8</xdr:col>
      <xdr:colOff>507600</xdr:colOff>
      <xdr:row>37</xdr:row>
      <xdr:rowOff>162000</xdr:rowOff>
    </xdr:to>
    <xdr:graphicFrame macro="">
      <xdr:nvGraphicFramePr>
        <xdr:cNvPr id="4" name="Chart 3">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0</xdr:colOff>
      <xdr:row>20</xdr:row>
      <xdr:rowOff>141870</xdr:rowOff>
    </xdr:from>
    <xdr:to>
      <xdr:col>17</xdr:col>
      <xdr:colOff>507600</xdr:colOff>
      <xdr:row>37</xdr:row>
      <xdr:rowOff>142950</xdr:rowOff>
    </xdr:to>
    <xdr:graphicFrame macro="">
      <xdr:nvGraphicFramePr>
        <xdr:cNvPr id="5" name="Chart 4">
          <a:extLst>
            <a:ext uri="{FF2B5EF4-FFF2-40B4-BE49-F238E27FC236}">
              <a16:creationId xmlns:a16="http://schemas.microsoft.com/office/drawing/2014/main" id="{00000000-0008-0000-08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39</xdr:row>
      <xdr:rowOff>160920</xdr:rowOff>
    </xdr:from>
    <xdr:to>
      <xdr:col>8</xdr:col>
      <xdr:colOff>507600</xdr:colOff>
      <xdr:row>56</xdr:row>
      <xdr:rowOff>162000</xdr:rowOff>
    </xdr:to>
    <xdr:graphicFrame macro="">
      <xdr:nvGraphicFramePr>
        <xdr:cNvPr id="6" name="Chart 5">
          <a:extLst>
            <a:ext uri="{FF2B5EF4-FFF2-40B4-BE49-F238E27FC236}">
              <a16:creationId xmlns:a16="http://schemas.microsoft.com/office/drawing/2014/main" id="{00000000-0008-0000-08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6"/>
  <sheetViews>
    <sheetView showGridLines="0" topLeftCell="A2" zoomScaleNormal="100" workbookViewId="0">
      <selection activeCell="A23" sqref="A23"/>
    </sheetView>
  </sheetViews>
  <sheetFormatPr defaultColWidth="8.7109375" defaultRowHeight="15" x14ac:dyDescent="0.25"/>
  <cols>
    <col min="1" max="1" width="38.85546875" customWidth="1"/>
    <col min="2" max="2" width="34.28515625" customWidth="1"/>
    <col min="3" max="3" width="96.7109375" customWidth="1"/>
    <col min="4" max="4" width="46.85546875" customWidth="1"/>
  </cols>
  <sheetData>
    <row r="1" spans="1:4" ht="18" x14ac:dyDescent="0.25">
      <c r="A1" s="19" t="s">
        <v>67</v>
      </c>
      <c r="B1" s="19"/>
      <c r="C1" s="19"/>
      <c r="D1" s="19"/>
    </row>
    <row r="3" spans="1:4" x14ac:dyDescent="0.25">
      <c r="A3" s="1" t="s">
        <v>68</v>
      </c>
      <c r="B3" s="1" t="s">
        <v>69</v>
      </c>
      <c r="C3" s="1" t="s">
        <v>70</v>
      </c>
      <c r="D3" s="1" t="s">
        <v>71</v>
      </c>
    </row>
    <row r="4" spans="1:4" x14ac:dyDescent="0.25">
      <c r="A4" s="4" t="s">
        <v>0</v>
      </c>
      <c r="B4" s="3" t="s">
        <v>72</v>
      </c>
      <c r="C4" s="3" t="s">
        <v>73</v>
      </c>
      <c r="D4" s="3" t="s">
        <v>74</v>
      </c>
    </row>
    <row r="5" spans="1:4" x14ac:dyDescent="0.25">
      <c r="A5" s="4" t="s">
        <v>1</v>
      </c>
      <c r="B5" s="3" t="s">
        <v>75</v>
      </c>
      <c r="C5" s="3" t="s">
        <v>76</v>
      </c>
      <c r="D5" s="3" t="s">
        <v>77</v>
      </c>
    </row>
    <row r="6" spans="1:4" x14ac:dyDescent="0.25">
      <c r="A6" s="4" t="s">
        <v>2</v>
      </c>
      <c r="B6" s="3" t="s">
        <v>78</v>
      </c>
      <c r="C6" s="3" t="s">
        <v>79</v>
      </c>
      <c r="D6" s="3" t="s">
        <v>80</v>
      </c>
    </row>
    <row r="7" spans="1:4" x14ac:dyDescent="0.25">
      <c r="A7" s="4" t="s">
        <v>3</v>
      </c>
      <c r="B7" s="3" t="s">
        <v>78</v>
      </c>
      <c r="C7" s="3" t="s">
        <v>81</v>
      </c>
      <c r="D7" s="3" t="s">
        <v>82</v>
      </c>
    </row>
    <row r="8" spans="1:4" x14ac:dyDescent="0.25">
      <c r="A8" s="4" t="s">
        <v>4</v>
      </c>
      <c r="B8" s="3" t="s">
        <v>75</v>
      </c>
      <c r="C8" s="3" t="s">
        <v>83</v>
      </c>
      <c r="D8" s="3" t="s">
        <v>84</v>
      </c>
    </row>
    <row r="9" spans="1:4" x14ac:dyDescent="0.25">
      <c r="A9" s="4" t="s">
        <v>5</v>
      </c>
      <c r="B9" s="3" t="s">
        <v>75</v>
      </c>
      <c r="C9" s="3" t="s">
        <v>85</v>
      </c>
      <c r="D9" s="3" t="s">
        <v>86</v>
      </c>
    </row>
    <row r="10" spans="1:4" x14ac:dyDescent="0.25">
      <c r="A10" s="4" t="s">
        <v>6</v>
      </c>
      <c r="B10" s="3" t="s">
        <v>75</v>
      </c>
      <c r="C10" s="3" t="s">
        <v>87</v>
      </c>
      <c r="D10" s="3" t="s">
        <v>88</v>
      </c>
    </row>
    <row r="11" spans="1:4" x14ac:dyDescent="0.25">
      <c r="A11" s="4" t="s">
        <v>7</v>
      </c>
      <c r="B11" s="3" t="s">
        <v>75</v>
      </c>
      <c r="C11" s="3" t="s">
        <v>89</v>
      </c>
      <c r="D11" s="3" t="s">
        <v>90</v>
      </c>
    </row>
    <row r="12" spans="1:4" x14ac:dyDescent="0.25">
      <c r="A12" s="4" t="s">
        <v>8</v>
      </c>
      <c r="B12" s="3" t="s">
        <v>75</v>
      </c>
      <c r="C12" s="3" t="s">
        <v>91</v>
      </c>
      <c r="D12" s="3" t="s">
        <v>92</v>
      </c>
    </row>
    <row r="13" spans="1:4" x14ac:dyDescent="0.25">
      <c r="A13" s="4" t="s">
        <v>9</v>
      </c>
      <c r="B13" s="3" t="s">
        <v>93</v>
      </c>
      <c r="C13" s="3" t="s">
        <v>94</v>
      </c>
      <c r="D13" s="3" t="s">
        <v>95</v>
      </c>
    </row>
    <row r="16" spans="1:4" x14ac:dyDescent="0.25">
      <c r="A16" s="5"/>
    </row>
  </sheetData>
  <mergeCells count="1">
    <mergeCell ref="A1:D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2"/>
  <sheetViews>
    <sheetView showGridLines="0" tabSelected="1" zoomScale="130" zoomScaleNormal="130" workbookViewId="0">
      <pane ySplit="1" topLeftCell="A2" activePane="bottomLeft" state="frozen"/>
      <selection pane="bottomLeft" activeCell="C3" sqref="C3"/>
    </sheetView>
  </sheetViews>
  <sheetFormatPr defaultColWidth="8.7109375" defaultRowHeight="15" x14ac:dyDescent="0.25"/>
  <cols>
    <col min="1" max="1" width="18.140625" customWidth="1"/>
    <col min="2" max="2" width="6" customWidth="1"/>
    <col min="3" max="3" width="29.5703125" customWidth="1"/>
    <col min="4" max="4" width="20.85546875" customWidth="1"/>
    <col min="5" max="5" width="23.42578125" customWidth="1"/>
    <col min="6" max="6" width="24" customWidth="1"/>
    <col min="7" max="7" width="20.5703125" customWidth="1"/>
    <col min="8" max="8" width="23.42578125" customWidth="1"/>
    <col min="9" max="9" width="31" customWidth="1"/>
    <col min="10" max="10" width="27.5703125"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s="2" t="s">
        <v>10</v>
      </c>
      <c r="B2" s="2">
        <v>1</v>
      </c>
      <c r="C2" s="3" t="s">
        <v>11</v>
      </c>
      <c r="D2" s="3" t="s">
        <v>12</v>
      </c>
      <c r="E2" s="2">
        <v>30</v>
      </c>
      <c r="F2" s="2">
        <v>28</v>
      </c>
      <c r="G2" s="2">
        <v>4</v>
      </c>
      <c r="H2" s="2">
        <v>0</v>
      </c>
      <c r="I2" s="2">
        <v>59</v>
      </c>
      <c r="J2" s="2">
        <v>2.8</v>
      </c>
    </row>
    <row r="3" spans="1:10" x14ac:dyDescent="0.25">
      <c r="A3" s="2" t="s">
        <v>13</v>
      </c>
      <c r="B3" s="2">
        <v>2</v>
      </c>
      <c r="C3" s="3" t="s">
        <v>14</v>
      </c>
      <c r="D3" s="3" t="s">
        <v>15</v>
      </c>
      <c r="E3" s="2">
        <v>32</v>
      </c>
      <c r="F3" s="2">
        <v>23</v>
      </c>
      <c r="G3" s="2">
        <v>4</v>
      </c>
      <c r="H3" s="2">
        <v>4</v>
      </c>
      <c r="I3" s="2">
        <v>43</v>
      </c>
      <c r="J3" s="2">
        <v>3</v>
      </c>
    </row>
    <row r="4" spans="1:10" x14ac:dyDescent="0.25">
      <c r="A4" s="2" t="s">
        <v>16</v>
      </c>
      <c r="B4" s="2">
        <v>3</v>
      </c>
      <c r="C4" s="3" t="s">
        <v>11</v>
      </c>
      <c r="D4" s="3" t="s">
        <v>15</v>
      </c>
      <c r="E4" s="2">
        <v>16</v>
      </c>
      <c r="F4" s="2">
        <v>16</v>
      </c>
      <c r="G4" s="2">
        <v>4</v>
      </c>
      <c r="H4" s="2">
        <v>3</v>
      </c>
      <c r="I4" s="2">
        <v>17</v>
      </c>
      <c r="J4" s="2">
        <v>3.4</v>
      </c>
    </row>
    <row r="5" spans="1:10" x14ac:dyDescent="0.25">
      <c r="A5" s="2" t="s">
        <v>17</v>
      </c>
      <c r="B5" s="2">
        <v>4</v>
      </c>
      <c r="C5" s="3" t="s">
        <v>18</v>
      </c>
      <c r="D5" s="3" t="s">
        <v>12</v>
      </c>
      <c r="E5" s="2">
        <v>19</v>
      </c>
      <c r="F5" s="2">
        <v>18</v>
      </c>
      <c r="G5" s="2">
        <v>4</v>
      </c>
      <c r="H5" s="2">
        <v>1</v>
      </c>
      <c r="I5" s="2">
        <v>10</v>
      </c>
      <c r="J5" s="2">
        <v>4.7</v>
      </c>
    </row>
    <row r="6" spans="1:10" x14ac:dyDescent="0.25">
      <c r="A6" s="2" t="s">
        <v>19</v>
      </c>
      <c r="B6" s="2">
        <v>5</v>
      </c>
      <c r="C6" s="3" t="s">
        <v>14</v>
      </c>
      <c r="D6" s="3" t="s">
        <v>20</v>
      </c>
      <c r="E6" s="2">
        <v>39</v>
      </c>
      <c r="F6" s="2">
        <v>28</v>
      </c>
      <c r="G6" s="2">
        <v>3</v>
      </c>
      <c r="H6" s="2">
        <v>1</v>
      </c>
      <c r="I6" s="2">
        <v>52</v>
      </c>
      <c r="J6" s="2">
        <v>2.8</v>
      </c>
    </row>
    <row r="7" spans="1:10" x14ac:dyDescent="0.25">
      <c r="A7" s="2" t="s">
        <v>21</v>
      </c>
      <c r="B7" s="2">
        <v>6</v>
      </c>
      <c r="C7" s="3" t="s">
        <v>22</v>
      </c>
      <c r="D7" s="3" t="s">
        <v>20</v>
      </c>
      <c r="E7" s="2">
        <v>34</v>
      </c>
      <c r="F7" s="2">
        <v>30</v>
      </c>
      <c r="G7" s="2">
        <v>2</v>
      </c>
      <c r="H7" s="2">
        <v>3</v>
      </c>
      <c r="I7" s="2">
        <v>54</v>
      </c>
      <c r="J7" s="2">
        <v>2.8</v>
      </c>
    </row>
    <row r="8" spans="1:10" x14ac:dyDescent="0.25">
      <c r="A8" s="2" t="s">
        <v>23</v>
      </c>
      <c r="B8" s="2">
        <v>7</v>
      </c>
      <c r="C8" s="3" t="s">
        <v>18</v>
      </c>
      <c r="D8" s="3" t="s">
        <v>15</v>
      </c>
      <c r="E8" s="2">
        <v>36</v>
      </c>
      <c r="F8" s="2">
        <v>36</v>
      </c>
      <c r="G8" s="2">
        <v>3</v>
      </c>
      <c r="H8" s="2">
        <v>4</v>
      </c>
      <c r="I8" s="2">
        <v>20</v>
      </c>
      <c r="J8" s="2">
        <v>3.4</v>
      </c>
    </row>
    <row r="9" spans="1:10" x14ac:dyDescent="0.25">
      <c r="A9" s="2" t="s">
        <v>24</v>
      </c>
      <c r="B9" s="2">
        <v>8</v>
      </c>
      <c r="C9" s="3" t="s">
        <v>14</v>
      </c>
      <c r="D9" s="3" t="s">
        <v>20</v>
      </c>
      <c r="E9" s="2">
        <v>35</v>
      </c>
      <c r="F9" s="2">
        <v>35</v>
      </c>
      <c r="G9" s="2">
        <v>2</v>
      </c>
      <c r="H9" s="2">
        <v>2</v>
      </c>
      <c r="I9" s="2">
        <v>45</v>
      </c>
      <c r="J9" s="2">
        <v>3.1</v>
      </c>
    </row>
    <row r="10" spans="1:10" x14ac:dyDescent="0.25">
      <c r="A10" s="2" t="s">
        <v>25</v>
      </c>
      <c r="B10" s="2">
        <v>9</v>
      </c>
      <c r="C10" s="3" t="s">
        <v>22</v>
      </c>
      <c r="D10" s="3" t="s">
        <v>20</v>
      </c>
      <c r="E10" s="2">
        <v>31</v>
      </c>
      <c r="F10" s="2">
        <v>31</v>
      </c>
      <c r="G10" s="2">
        <v>1</v>
      </c>
      <c r="H10" s="2">
        <v>0</v>
      </c>
      <c r="I10" s="2">
        <v>8</v>
      </c>
      <c r="J10" s="2">
        <v>5</v>
      </c>
    </row>
    <row r="11" spans="1:10" x14ac:dyDescent="0.25">
      <c r="A11" s="2" t="s">
        <v>26</v>
      </c>
      <c r="B11" s="2">
        <v>10</v>
      </c>
      <c r="C11" s="3" t="s">
        <v>11</v>
      </c>
      <c r="D11" s="3" t="s">
        <v>20</v>
      </c>
      <c r="E11" s="2">
        <v>27</v>
      </c>
      <c r="F11" s="2">
        <v>27</v>
      </c>
      <c r="G11" s="2">
        <v>4</v>
      </c>
      <c r="H11" s="2">
        <v>3</v>
      </c>
      <c r="I11" s="2">
        <v>52</v>
      </c>
      <c r="J11" s="2">
        <v>2.8</v>
      </c>
    </row>
    <row r="12" spans="1:10" x14ac:dyDescent="0.25">
      <c r="A12" s="2" t="s">
        <v>27</v>
      </c>
      <c r="B12" s="2">
        <v>11</v>
      </c>
      <c r="C12" s="3" t="s">
        <v>22</v>
      </c>
      <c r="D12" s="3" t="s">
        <v>15</v>
      </c>
      <c r="E12" s="2">
        <v>24</v>
      </c>
      <c r="F12" s="2">
        <v>22</v>
      </c>
      <c r="G12" s="2">
        <v>2</v>
      </c>
      <c r="H12" s="2">
        <v>3</v>
      </c>
      <c r="I12" s="2">
        <v>26</v>
      </c>
      <c r="J12" s="2">
        <v>3.5</v>
      </c>
    </row>
    <row r="13" spans="1:10" x14ac:dyDescent="0.25">
      <c r="A13" s="2" t="s">
        <v>28</v>
      </c>
      <c r="B13" s="2">
        <v>12</v>
      </c>
      <c r="C13" s="3" t="s">
        <v>22</v>
      </c>
      <c r="D13" s="3" t="s">
        <v>12</v>
      </c>
      <c r="E13" s="2">
        <v>16</v>
      </c>
      <c r="F13" s="2">
        <v>16</v>
      </c>
      <c r="G13" s="2">
        <v>3</v>
      </c>
      <c r="H13" s="2">
        <v>4</v>
      </c>
      <c r="I13" s="2">
        <v>7</v>
      </c>
      <c r="J13" s="2">
        <v>3.3</v>
      </c>
    </row>
    <row r="14" spans="1:10" x14ac:dyDescent="0.25">
      <c r="A14" s="2" t="s">
        <v>29</v>
      </c>
      <c r="B14" s="2">
        <v>13</v>
      </c>
      <c r="C14" s="3" t="s">
        <v>14</v>
      </c>
      <c r="D14" s="3" t="s">
        <v>15</v>
      </c>
      <c r="E14" s="2">
        <v>33</v>
      </c>
      <c r="F14" s="2">
        <v>28</v>
      </c>
      <c r="G14" s="2">
        <v>1</v>
      </c>
      <c r="H14" s="2">
        <v>0</v>
      </c>
      <c r="I14" s="2">
        <v>27</v>
      </c>
      <c r="J14" s="2">
        <v>4.3</v>
      </c>
    </row>
    <row r="15" spans="1:10" x14ac:dyDescent="0.25">
      <c r="A15" s="2" t="s">
        <v>30</v>
      </c>
      <c r="B15" s="2">
        <v>14</v>
      </c>
      <c r="C15" s="3" t="s">
        <v>11</v>
      </c>
      <c r="D15" s="3" t="s">
        <v>20</v>
      </c>
      <c r="E15" s="2">
        <v>35</v>
      </c>
      <c r="F15" s="2">
        <v>35</v>
      </c>
      <c r="G15" s="2">
        <v>3</v>
      </c>
      <c r="H15" s="2">
        <v>0</v>
      </c>
      <c r="I15" s="2">
        <v>10</v>
      </c>
      <c r="J15" s="2">
        <v>5</v>
      </c>
    </row>
    <row r="16" spans="1:10" x14ac:dyDescent="0.25">
      <c r="A16" s="2" t="s">
        <v>31</v>
      </c>
      <c r="B16" s="2">
        <v>15</v>
      </c>
      <c r="C16" s="3" t="s">
        <v>11</v>
      </c>
      <c r="D16" s="3" t="s">
        <v>20</v>
      </c>
      <c r="E16" s="2">
        <v>23</v>
      </c>
      <c r="F16" s="2">
        <v>20</v>
      </c>
      <c r="G16" s="2">
        <v>4</v>
      </c>
      <c r="H16" s="2">
        <v>1</v>
      </c>
      <c r="I16" s="2">
        <v>24</v>
      </c>
      <c r="J16" s="2">
        <v>3.9</v>
      </c>
    </row>
    <row r="17" spans="1:10" x14ac:dyDescent="0.25">
      <c r="A17" s="2" t="s">
        <v>32</v>
      </c>
      <c r="B17" s="2">
        <v>16</v>
      </c>
      <c r="C17" s="3" t="s">
        <v>22</v>
      </c>
      <c r="D17" s="3" t="s">
        <v>20</v>
      </c>
      <c r="E17" s="2">
        <v>39</v>
      </c>
      <c r="F17" s="2">
        <v>39</v>
      </c>
      <c r="G17" s="2">
        <v>4</v>
      </c>
      <c r="H17" s="2">
        <v>0</v>
      </c>
      <c r="I17" s="2">
        <v>6</v>
      </c>
      <c r="J17" s="2">
        <v>4.5</v>
      </c>
    </row>
    <row r="18" spans="1:10" x14ac:dyDescent="0.25">
      <c r="A18" s="2" t="s">
        <v>33</v>
      </c>
      <c r="B18" s="2">
        <v>17</v>
      </c>
      <c r="C18" s="3" t="s">
        <v>11</v>
      </c>
      <c r="D18" s="3" t="s">
        <v>12</v>
      </c>
      <c r="E18" s="2">
        <v>27</v>
      </c>
      <c r="F18" s="2">
        <v>24</v>
      </c>
      <c r="G18" s="2">
        <v>1</v>
      </c>
      <c r="H18" s="2">
        <v>4</v>
      </c>
      <c r="I18" s="2">
        <v>7</v>
      </c>
      <c r="J18" s="2">
        <v>3.5</v>
      </c>
    </row>
    <row r="19" spans="1:10" x14ac:dyDescent="0.25">
      <c r="A19" s="2" t="s">
        <v>34</v>
      </c>
      <c r="B19" s="2">
        <v>18</v>
      </c>
      <c r="C19" s="3" t="s">
        <v>18</v>
      </c>
      <c r="D19" s="3" t="s">
        <v>20</v>
      </c>
      <c r="E19" s="2">
        <v>39</v>
      </c>
      <c r="F19" s="2">
        <v>16</v>
      </c>
      <c r="G19" s="2">
        <v>4</v>
      </c>
      <c r="H19" s="2">
        <v>4</v>
      </c>
      <c r="I19" s="2">
        <v>58</v>
      </c>
      <c r="J19" s="2">
        <v>2.2999999999999998</v>
      </c>
    </row>
    <row r="20" spans="1:10" x14ac:dyDescent="0.25">
      <c r="A20" s="2" t="s">
        <v>35</v>
      </c>
      <c r="B20" s="2">
        <v>19</v>
      </c>
      <c r="C20" s="3" t="s">
        <v>22</v>
      </c>
      <c r="D20" s="3" t="s">
        <v>15</v>
      </c>
      <c r="E20" s="2">
        <v>38</v>
      </c>
      <c r="F20" s="2">
        <v>25</v>
      </c>
      <c r="G20" s="2">
        <v>1</v>
      </c>
      <c r="H20" s="2">
        <v>3</v>
      </c>
      <c r="I20" s="2">
        <v>58</v>
      </c>
      <c r="J20" s="2">
        <v>1.9</v>
      </c>
    </row>
    <row r="21" spans="1:10" x14ac:dyDescent="0.25">
      <c r="A21" s="2" t="s">
        <v>36</v>
      </c>
      <c r="B21" s="2">
        <v>20</v>
      </c>
      <c r="C21" s="3" t="s">
        <v>14</v>
      </c>
      <c r="D21" s="3" t="s">
        <v>20</v>
      </c>
      <c r="E21" s="2">
        <v>26</v>
      </c>
      <c r="F21" s="2">
        <v>25</v>
      </c>
      <c r="G21" s="2">
        <v>3</v>
      </c>
      <c r="H21" s="2">
        <v>4</v>
      </c>
      <c r="I21" s="2">
        <v>52</v>
      </c>
      <c r="J21" s="2">
        <v>1.9</v>
      </c>
    </row>
    <row r="22" spans="1:10" x14ac:dyDescent="0.25">
      <c r="A22" s="2" t="s">
        <v>37</v>
      </c>
      <c r="B22" s="2">
        <v>21</v>
      </c>
      <c r="C22" s="3" t="s">
        <v>18</v>
      </c>
      <c r="D22" s="3" t="s">
        <v>12</v>
      </c>
      <c r="E22" s="2">
        <v>27</v>
      </c>
      <c r="F22" s="2">
        <v>27</v>
      </c>
      <c r="G22" s="2">
        <v>2</v>
      </c>
      <c r="H22" s="2">
        <v>4</v>
      </c>
      <c r="I22" s="2">
        <v>50</v>
      </c>
      <c r="J22" s="2">
        <v>1.7</v>
      </c>
    </row>
    <row r="23" spans="1:10" x14ac:dyDescent="0.25">
      <c r="A23" s="2" t="s">
        <v>38</v>
      </c>
      <c r="B23" s="2">
        <v>22</v>
      </c>
      <c r="C23" s="3" t="s">
        <v>22</v>
      </c>
      <c r="D23" s="3" t="s">
        <v>15</v>
      </c>
      <c r="E23" s="2">
        <v>36</v>
      </c>
      <c r="F23" s="2">
        <v>28</v>
      </c>
      <c r="G23" s="2">
        <v>2</v>
      </c>
      <c r="H23" s="2">
        <v>0</v>
      </c>
      <c r="I23" s="2">
        <v>2</v>
      </c>
      <c r="J23" s="2">
        <v>5</v>
      </c>
    </row>
    <row r="24" spans="1:10" x14ac:dyDescent="0.25">
      <c r="A24" s="2" t="s">
        <v>39</v>
      </c>
      <c r="B24" s="2">
        <v>23</v>
      </c>
      <c r="C24" s="3" t="s">
        <v>18</v>
      </c>
      <c r="D24" s="3" t="s">
        <v>20</v>
      </c>
      <c r="E24" s="2">
        <v>25</v>
      </c>
      <c r="F24" s="2">
        <v>24</v>
      </c>
      <c r="G24" s="2">
        <v>3</v>
      </c>
      <c r="H24" s="2">
        <v>4</v>
      </c>
      <c r="I24" s="2">
        <v>22</v>
      </c>
      <c r="J24" s="2">
        <v>3.5</v>
      </c>
    </row>
    <row r="25" spans="1:10" x14ac:dyDescent="0.25">
      <c r="A25" s="2" t="s">
        <v>40</v>
      </c>
      <c r="B25" s="2">
        <v>24</v>
      </c>
      <c r="C25" s="3" t="s">
        <v>18</v>
      </c>
      <c r="D25" s="3" t="s">
        <v>20</v>
      </c>
      <c r="E25" s="2">
        <v>22</v>
      </c>
      <c r="F25" s="2">
        <v>22</v>
      </c>
      <c r="G25" s="2">
        <v>1</v>
      </c>
      <c r="H25" s="2">
        <v>2</v>
      </c>
      <c r="I25" s="2">
        <v>18</v>
      </c>
      <c r="J25" s="2">
        <v>4</v>
      </c>
    </row>
    <row r="26" spans="1:10" x14ac:dyDescent="0.25">
      <c r="A26" s="2" t="s">
        <v>41</v>
      </c>
      <c r="B26" s="2">
        <v>25</v>
      </c>
      <c r="C26" s="3" t="s">
        <v>22</v>
      </c>
      <c r="D26" s="3" t="s">
        <v>15</v>
      </c>
      <c r="E26" s="2">
        <v>40</v>
      </c>
      <c r="F26" s="2">
        <v>22</v>
      </c>
      <c r="G26" s="2">
        <v>2</v>
      </c>
      <c r="H26" s="2">
        <v>2</v>
      </c>
      <c r="I26" s="2">
        <v>10</v>
      </c>
      <c r="J26" s="2">
        <v>4</v>
      </c>
    </row>
    <row r="27" spans="1:10" x14ac:dyDescent="0.25">
      <c r="A27" s="2" t="s">
        <v>42</v>
      </c>
      <c r="B27" s="2">
        <v>26</v>
      </c>
      <c r="C27" s="3" t="s">
        <v>22</v>
      </c>
      <c r="D27" s="3" t="s">
        <v>12</v>
      </c>
      <c r="E27" s="2">
        <v>27</v>
      </c>
      <c r="F27" s="2">
        <v>27</v>
      </c>
      <c r="G27" s="2">
        <v>1</v>
      </c>
      <c r="H27" s="2">
        <v>3</v>
      </c>
      <c r="I27" s="2">
        <v>36</v>
      </c>
      <c r="J27" s="2">
        <v>2.6</v>
      </c>
    </row>
    <row r="28" spans="1:10" x14ac:dyDescent="0.25">
      <c r="A28" s="2" t="s">
        <v>43</v>
      </c>
      <c r="B28" s="2">
        <v>27</v>
      </c>
      <c r="C28" s="3" t="s">
        <v>14</v>
      </c>
      <c r="D28" s="3" t="s">
        <v>15</v>
      </c>
      <c r="E28" s="2">
        <v>19</v>
      </c>
      <c r="F28" s="2">
        <v>19</v>
      </c>
      <c r="G28" s="2">
        <v>2</v>
      </c>
      <c r="H28" s="2">
        <v>3</v>
      </c>
      <c r="I28" s="2">
        <v>8</v>
      </c>
      <c r="J28" s="2">
        <v>3.8</v>
      </c>
    </row>
    <row r="29" spans="1:10" x14ac:dyDescent="0.25">
      <c r="A29" s="2" t="s">
        <v>44</v>
      </c>
      <c r="B29" s="2">
        <v>28</v>
      </c>
      <c r="C29" s="3" t="s">
        <v>18</v>
      </c>
      <c r="D29" s="3" t="s">
        <v>12</v>
      </c>
      <c r="E29" s="2">
        <v>34</v>
      </c>
      <c r="F29" s="2">
        <v>18</v>
      </c>
      <c r="G29" s="2">
        <v>2</v>
      </c>
      <c r="H29" s="2">
        <v>1</v>
      </c>
      <c r="I29" s="2">
        <v>48</v>
      </c>
      <c r="J29" s="2">
        <v>3.3</v>
      </c>
    </row>
    <row r="30" spans="1:10" x14ac:dyDescent="0.25">
      <c r="A30" s="2" t="s">
        <v>45</v>
      </c>
      <c r="B30" s="2">
        <v>29</v>
      </c>
      <c r="C30" s="3" t="s">
        <v>18</v>
      </c>
      <c r="D30" s="3" t="s">
        <v>12</v>
      </c>
      <c r="E30" s="2">
        <v>23</v>
      </c>
      <c r="F30" s="2">
        <v>23</v>
      </c>
      <c r="G30" s="2">
        <v>3</v>
      </c>
      <c r="H30" s="2">
        <v>3</v>
      </c>
      <c r="I30" s="2">
        <v>43</v>
      </c>
      <c r="J30" s="2">
        <v>2.9</v>
      </c>
    </row>
    <row r="31" spans="1:10" x14ac:dyDescent="0.25">
      <c r="A31" s="2" t="s">
        <v>46</v>
      </c>
      <c r="B31" s="2">
        <v>30</v>
      </c>
      <c r="C31" s="3" t="s">
        <v>14</v>
      </c>
      <c r="D31" s="3" t="s">
        <v>20</v>
      </c>
      <c r="E31" s="2">
        <v>17</v>
      </c>
      <c r="F31" s="2">
        <v>17</v>
      </c>
      <c r="G31" s="2">
        <v>2</v>
      </c>
      <c r="H31" s="2">
        <v>2</v>
      </c>
      <c r="I31" s="2">
        <v>4</v>
      </c>
      <c r="J31" s="2">
        <v>4.2</v>
      </c>
    </row>
    <row r="32" spans="1:10" x14ac:dyDescent="0.25">
      <c r="A32" s="2" t="s">
        <v>47</v>
      </c>
      <c r="B32" s="2">
        <v>31</v>
      </c>
      <c r="C32" s="3" t="s">
        <v>14</v>
      </c>
      <c r="D32" s="3" t="s">
        <v>12</v>
      </c>
      <c r="E32" s="2">
        <v>31</v>
      </c>
      <c r="F32" s="2">
        <v>19</v>
      </c>
      <c r="G32" s="2">
        <v>1</v>
      </c>
      <c r="H32" s="2">
        <v>4</v>
      </c>
      <c r="I32" s="2">
        <v>1</v>
      </c>
      <c r="J32" s="2">
        <v>4</v>
      </c>
    </row>
    <row r="33" spans="1:10" x14ac:dyDescent="0.25">
      <c r="A33" s="2" t="s">
        <v>48</v>
      </c>
      <c r="B33" s="2">
        <v>32</v>
      </c>
      <c r="C33" s="3" t="s">
        <v>18</v>
      </c>
      <c r="D33" s="3" t="s">
        <v>15</v>
      </c>
      <c r="E33" s="2">
        <v>39</v>
      </c>
      <c r="F33" s="2">
        <v>21</v>
      </c>
      <c r="G33" s="2">
        <v>1</v>
      </c>
      <c r="H33" s="2">
        <v>0</v>
      </c>
      <c r="I33" s="2">
        <v>20</v>
      </c>
      <c r="J33" s="2">
        <v>4.3</v>
      </c>
    </row>
    <row r="34" spans="1:10" x14ac:dyDescent="0.25">
      <c r="A34" s="2" t="s">
        <v>49</v>
      </c>
      <c r="B34" s="2">
        <v>33</v>
      </c>
      <c r="C34" s="3" t="s">
        <v>14</v>
      </c>
      <c r="D34" s="3" t="s">
        <v>15</v>
      </c>
      <c r="E34" s="2">
        <v>22</v>
      </c>
      <c r="F34" s="2">
        <v>20</v>
      </c>
      <c r="G34" s="2">
        <v>2</v>
      </c>
      <c r="H34" s="2">
        <v>4</v>
      </c>
      <c r="I34" s="2">
        <v>50</v>
      </c>
      <c r="J34" s="2">
        <v>2.1</v>
      </c>
    </row>
    <row r="35" spans="1:10" x14ac:dyDescent="0.25">
      <c r="A35" s="2" t="s">
        <v>50</v>
      </c>
      <c r="B35" s="2">
        <v>34</v>
      </c>
      <c r="C35" s="3" t="s">
        <v>11</v>
      </c>
      <c r="D35" s="3" t="s">
        <v>12</v>
      </c>
      <c r="E35" s="2">
        <v>24</v>
      </c>
      <c r="F35" s="2">
        <v>24</v>
      </c>
      <c r="G35" s="2">
        <v>4</v>
      </c>
      <c r="H35" s="2">
        <v>3</v>
      </c>
      <c r="I35" s="2">
        <v>33</v>
      </c>
      <c r="J35" s="2">
        <v>3.7</v>
      </c>
    </row>
    <row r="36" spans="1:10" x14ac:dyDescent="0.25">
      <c r="A36" s="2" t="s">
        <v>51</v>
      </c>
      <c r="B36" s="2">
        <v>35</v>
      </c>
      <c r="C36" s="3" t="s">
        <v>22</v>
      </c>
      <c r="D36" s="3" t="s">
        <v>12</v>
      </c>
      <c r="E36" s="2">
        <v>38</v>
      </c>
      <c r="F36" s="2">
        <v>18</v>
      </c>
      <c r="G36" s="2">
        <v>2</v>
      </c>
      <c r="H36" s="2">
        <v>3</v>
      </c>
      <c r="I36" s="2">
        <v>8</v>
      </c>
      <c r="J36" s="2">
        <v>3.6</v>
      </c>
    </row>
    <row r="37" spans="1:10" x14ac:dyDescent="0.25">
      <c r="A37" s="2" t="s">
        <v>52</v>
      </c>
      <c r="B37" s="2">
        <v>36</v>
      </c>
      <c r="C37" s="3" t="s">
        <v>14</v>
      </c>
      <c r="D37" s="3" t="s">
        <v>20</v>
      </c>
      <c r="E37" s="2">
        <v>25</v>
      </c>
      <c r="F37" s="2">
        <v>25</v>
      </c>
      <c r="G37" s="2">
        <v>2</v>
      </c>
      <c r="H37" s="2">
        <v>1</v>
      </c>
      <c r="I37" s="2">
        <v>39</v>
      </c>
      <c r="J37" s="2">
        <v>3.6</v>
      </c>
    </row>
    <row r="38" spans="1:10" x14ac:dyDescent="0.25">
      <c r="A38" s="2" t="s">
        <v>53</v>
      </c>
      <c r="B38" s="2">
        <v>37</v>
      </c>
      <c r="C38" s="3" t="s">
        <v>14</v>
      </c>
      <c r="D38" s="3" t="s">
        <v>12</v>
      </c>
      <c r="E38" s="2">
        <v>17</v>
      </c>
      <c r="F38" s="2">
        <v>17</v>
      </c>
      <c r="G38" s="2">
        <v>1</v>
      </c>
      <c r="H38" s="2">
        <v>1</v>
      </c>
      <c r="I38" s="2">
        <v>24</v>
      </c>
      <c r="J38" s="2">
        <v>4.3</v>
      </c>
    </row>
    <row r="39" spans="1:10" x14ac:dyDescent="0.25">
      <c r="A39" s="2" t="s">
        <v>54</v>
      </c>
      <c r="B39" s="2">
        <v>38</v>
      </c>
      <c r="C39" s="3" t="s">
        <v>18</v>
      </c>
      <c r="D39" s="3" t="s">
        <v>20</v>
      </c>
      <c r="E39" s="2">
        <v>15</v>
      </c>
      <c r="F39" s="2">
        <v>15</v>
      </c>
      <c r="G39" s="2">
        <v>4</v>
      </c>
      <c r="H39" s="2">
        <v>3</v>
      </c>
      <c r="I39" s="2">
        <v>11</v>
      </c>
      <c r="J39" s="2">
        <v>3.8</v>
      </c>
    </row>
    <row r="40" spans="1:10" x14ac:dyDescent="0.25">
      <c r="A40" s="2" t="s">
        <v>55</v>
      </c>
      <c r="B40" s="2">
        <v>39</v>
      </c>
      <c r="C40" s="3" t="s">
        <v>18</v>
      </c>
      <c r="D40" s="3" t="s">
        <v>20</v>
      </c>
      <c r="E40" s="2">
        <v>37</v>
      </c>
      <c r="F40" s="2">
        <v>33</v>
      </c>
      <c r="G40" s="2">
        <v>1</v>
      </c>
      <c r="H40" s="2">
        <v>0</v>
      </c>
      <c r="I40" s="2">
        <v>10</v>
      </c>
      <c r="J40" s="2">
        <v>4.5999999999999996</v>
      </c>
    </row>
    <row r="41" spans="1:10" x14ac:dyDescent="0.25">
      <c r="A41" s="2" t="s">
        <v>56</v>
      </c>
      <c r="B41" s="2">
        <v>40</v>
      </c>
      <c r="C41" s="3" t="s">
        <v>18</v>
      </c>
      <c r="D41" s="3" t="s">
        <v>20</v>
      </c>
      <c r="E41" s="2">
        <v>33</v>
      </c>
      <c r="F41" s="2">
        <v>33</v>
      </c>
      <c r="G41" s="2">
        <v>3</v>
      </c>
      <c r="H41" s="2">
        <v>4</v>
      </c>
      <c r="I41" s="2">
        <v>35</v>
      </c>
      <c r="J41" s="2">
        <v>2.6</v>
      </c>
    </row>
    <row r="42" spans="1:10" x14ac:dyDescent="0.25">
      <c r="A42" s="2" t="s">
        <v>57</v>
      </c>
      <c r="B42" s="2">
        <v>41</v>
      </c>
      <c r="C42" s="3" t="s">
        <v>11</v>
      </c>
      <c r="D42" s="3" t="s">
        <v>20</v>
      </c>
      <c r="E42" s="2">
        <v>20</v>
      </c>
      <c r="F42" s="2">
        <v>20</v>
      </c>
      <c r="G42" s="2">
        <v>2</v>
      </c>
      <c r="H42" s="2">
        <v>0</v>
      </c>
      <c r="I42" s="2">
        <v>33</v>
      </c>
      <c r="J42" s="2">
        <v>3.6</v>
      </c>
    </row>
    <row r="43" spans="1:10" x14ac:dyDescent="0.25">
      <c r="A43" s="2" t="s">
        <v>58</v>
      </c>
      <c r="B43" s="2">
        <v>42</v>
      </c>
      <c r="C43" s="3" t="s">
        <v>18</v>
      </c>
      <c r="D43" s="3" t="s">
        <v>15</v>
      </c>
      <c r="E43" s="2">
        <v>19</v>
      </c>
      <c r="F43" s="2">
        <v>19</v>
      </c>
      <c r="G43" s="2">
        <v>4</v>
      </c>
      <c r="H43" s="2">
        <v>0</v>
      </c>
      <c r="I43" s="2">
        <v>14</v>
      </c>
      <c r="J43" s="2">
        <v>4.0999999999999996</v>
      </c>
    </row>
    <row r="44" spans="1:10" x14ac:dyDescent="0.25">
      <c r="A44" s="2" t="s">
        <v>59</v>
      </c>
      <c r="B44" s="2">
        <v>43</v>
      </c>
      <c r="C44" s="3" t="s">
        <v>18</v>
      </c>
      <c r="D44" s="3" t="s">
        <v>20</v>
      </c>
      <c r="E44" s="2">
        <v>32</v>
      </c>
      <c r="F44" s="2">
        <v>19</v>
      </c>
      <c r="G44" s="2">
        <v>2</v>
      </c>
      <c r="H44" s="2">
        <v>1</v>
      </c>
      <c r="I44" s="2">
        <v>44</v>
      </c>
      <c r="J44" s="2">
        <v>3.4</v>
      </c>
    </row>
    <row r="45" spans="1:10" x14ac:dyDescent="0.25">
      <c r="A45" s="2" t="s">
        <v>60</v>
      </c>
      <c r="B45" s="2">
        <v>44</v>
      </c>
      <c r="C45" s="3" t="s">
        <v>11</v>
      </c>
      <c r="D45" s="3" t="s">
        <v>15</v>
      </c>
      <c r="E45" s="2">
        <v>19</v>
      </c>
      <c r="F45" s="2">
        <v>19</v>
      </c>
      <c r="G45" s="2">
        <v>1</v>
      </c>
      <c r="H45" s="2">
        <v>0</v>
      </c>
      <c r="I45" s="2">
        <v>18</v>
      </c>
      <c r="J45" s="2">
        <v>4.4000000000000004</v>
      </c>
    </row>
    <row r="46" spans="1:10" x14ac:dyDescent="0.25">
      <c r="A46" s="2" t="s">
        <v>61</v>
      </c>
      <c r="B46" s="2">
        <v>45</v>
      </c>
      <c r="C46" s="3" t="s">
        <v>18</v>
      </c>
      <c r="D46" s="3" t="s">
        <v>20</v>
      </c>
      <c r="E46" s="2">
        <v>21</v>
      </c>
      <c r="F46" s="2">
        <v>21</v>
      </c>
      <c r="G46" s="2">
        <v>4</v>
      </c>
      <c r="H46" s="2">
        <v>2</v>
      </c>
      <c r="I46" s="2">
        <v>17</v>
      </c>
      <c r="J46" s="2">
        <v>3.5</v>
      </c>
    </row>
    <row r="47" spans="1:10" x14ac:dyDescent="0.25">
      <c r="A47" s="2" t="s">
        <v>62</v>
      </c>
      <c r="B47" s="2">
        <v>46</v>
      </c>
      <c r="C47" s="3" t="s">
        <v>22</v>
      </c>
      <c r="D47" s="3" t="s">
        <v>12</v>
      </c>
      <c r="E47" s="2">
        <v>26</v>
      </c>
      <c r="F47" s="2">
        <v>26</v>
      </c>
      <c r="G47" s="2">
        <v>4</v>
      </c>
      <c r="H47" s="2">
        <v>1</v>
      </c>
      <c r="I47" s="2">
        <v>59</v>
      </c>
      <c r="J47" s="2">
        <v>2.6</v>
      </c>
    </row>
    <row r="48" spans="1:10" x14ac:dyDescent="0.25">
      <c r="A48" s="2" t="s">
        <v>63</v>
      </c>
      <c r="B48" s="2">
        <v>47</v>
      </c>
      <c r="C48" s="3" t="s">
        <v>22</v>
      </c>
      <c r="D48" s="3" t="s">
        <v>15</v>
      </c>
      <c r="E48" s="2">
        <v>29</v>
      </c>
      <c r="F48" s="2">
        <v>27</v>
      </c>
      <c r="G48" s="2">
        <v>4</v>
      </c>
      <c r="H48" s="2">
        <v>4</v>
      </c>
      <c r="I48" s="2">
        <v>1</v>
      </c>
      <c r="J48" s="2">
        <v>4.5999999999999996</v>
      </c>
    </row>
    <row r="49" spans="1:10" x14ac:dyDescent="0.25">
      <c r="A49" s="2" t="s">
        <v>64</v>
      </c>
      <c r="B49" s="2">
        <v>48</v>
      </c>
      <c r="C49" s="3" t="s">
        <v>18</v>
      </c>
      <c r="D49" s="3" t="s">
        <v>15</v>
      </c>
      <c r="E49" s="2">
        <v>37</v>
      </c>
      <c r="F49" s="2">
        <v>29</v>
      </c>
      <c r="G49" s="2">
        <v>2</v>
      </c>
      <c r="H49" s="2">
        <v>2</v>
      </c>
      <c r="I49" s="2">
        <v>21</v>
      </c>
      <c r="J49" s="2">
        <v>3.9</v>
      </c>
    </row>
    <row r="50" spans="1:10" x14ac:dyDescent="0.25">
      <c r="A50" s="2" t="s">
        <v>65</v>
      </c>
      <c r="B50" s="2">
        <v>49</v>
      </c>
      <c r="C50" s="3" t="s">
        <v>18</v>
      </c>
      <c r="D50" s="3" t="s">
        <v>12</v>
      </c>
      <c r="E50" s="2">
        <v>19</v>
      </c>
      <c r="F50" s="2">
        <v>18</v>
      </c>
      <c r="G50" s="2">
        <v>3</v>
      </c>
      <c r="H50" s="2">
        <v>4</v>
      </c>
      <c r="I50" s="2">
        <v>34</v>
      </c>
      <c r="J50" s="2">
        <v>3.2</v>
      </c>
    </row>
    <row r="51" spans="1:10" x14ac:dyDescent="0.25">
      <c r="A51" s="2" t="s">
        <v>66</v>
      </c>
      <c r="B51" s="2">
        <v>50</v>
      </c>
      <c r="C51" s="3" t="s">
        <v>14</v>
      </c>
      <c r="D51" s="3" t="s">
        <v>12</v>
      </c>
      <c r="E51" s="2">
        <v>28</v>
      </c>
      <c r="F51" s="2">
        <v>28</v>
      </c>
      <c r="G51" s="2">
        <v>1</v>
      </c>
      <c r="H51" s="2">
        <v>4</v>
      </c>
      <c r="I51" s="2">
        <v>30</v>
      </c>
      <c r="J51" s="2">
        <v>2.1</v>
      </c>
    </row>
    <row r="53" spans="1:10" x14ac:dyDescent="0.25">
      <c r="D53" s="30"/>
    </row>
    <row r="54" spans="1:10" x14ac:dyDescent="0.25">
      <c r="C54" s="30"/>
      <c r="D54" s="30"/>
    </row>
    <row r="55" spans="1:10" x14ac:dyDescent="0.25">
      <c r="D55" s="30"/>
    </row>
    <row r="56" spans="1:10" x14ac:dyDescent="0.25">
      <c r="D56" s="30"/>
    </row>
    <row r="62" spans="1:10" x14ac:dyDescent="0.25">
      <c r="H62">
        <f>AVERAGE(H2:H51)</f>
        <v>2.1800000000000002</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61"/>
  <sheetViews>
    <sheetView showGridLines="0" zoomScaleNormal="100" workbookViewId="0">
      <pane ySplit="11" topLeftCell="A21" activePane="bottomLeft" state="frozen"/>
      <selection pane="bottomLeft" activeCell="A3" sqref="A3:H9"/>
    </sheetView>
  </sheetViews>
  <sheetFormatPr defaultColWidth="8.7109375" defaultRowHeight="15" x14ac:dyDescent="0.25"/>
  <cols>
    <col min="1" max="1" width="18.7109375" customWidth="1"/>
    <col min="2" max="2" width="13" customWidth="1"/>
    <col min="3" max="3" width="29.140625" customWidth="1"/>
    <col min="4" max="4" width="10" customWidth="1"/>
    <col min="5" max="5" width="16" customWidth="1"/>
    <col min="6" max="6" width="15" customWidth="1"/>
    <col min="7" max="7" width="11" customWidth="1"/>
    <col min="8" max="8" width="16" customWidth="1"/>
    <col min="9" max="9" width="24" customWidth="1"/>
    <col min="10" max="10" width="16" customWidth="1"/>
  </cols>
  <sheetData>
    <row r="1" spans="1:10" ht="18" x14ac:dyDescent="0.25">
      <c r="A1" s="19" t="s">
        <v>96</v>
      </c>
      <c r="B1" s="19"/>
      <c r="C1" s="19"/>
      <c r="D1" s="19"/>
      <c r="E1" s="19"/>
      <c r="F1" s="19"/>
      <c r="G1" s="19"/>
      <c r="H1" s="19"/>
    </row>
    <row r="3" spans="1:10" x14ac:dyDescent="0.25">
      <c r="A3" s="22" t="s">
        <v>97</v>
      </c>
      <c r="B3" s="22"/>
      <c r="C3" s="22"/>
      <c r="D3" s="22"/>
      <c r="E3" s="22" t="s">
        <v>98</v>
      </c>
      <c r="F3" s="22"/>
      <c r="G3" s="22"/>
      <c r="H3" s="22"/>
    </row>
    <row r="4" spans="1:10" ht="15" customHeight="1" x14ac:dyDescent="0.25">
      <c r="A4" s="20" t="s">
        <v>99</v>
      </c>
      <c r="B4" s="20"/>
      <c r="C4" s="20"/>
      <c r="D4" s="20"/>
      <c r="E4" s="20" t="str">
        <f>SUMPRODUCT((COUNTIF(A12:A61,A12:A61)&gt;1)*1)&amp;" duplicate Record_ID(s) found out of 50 records."</f>
        <v>0 duplicate Record_ID(s) found out of 50 records.</v>
      </c>
      <c r="F4" s="20"/>
      <c r="G4" s="20"/>
      <c r="H4" s="20"/>
    </row>
    <row r="5" spans="1:10" ht="15" customHeight="1" x14ac:dyDescent="0.25">
      <c r="A5" s="20" t="s">
        <v>100</v>
      </c>
      <c r="B5" s="20"/>
      <c r="C5" s="20"/>
      <c r="D5" s="20"/>
      <c r="E5" s="20" t="str">
        <f>COUNTBLANK(A12:J61)&amp;" blank cell(s) found across all fields."</f>
        <v>0 blank cell(s) found across all fields.</v>
      </c>
      <c r="F5" s="20"/>
      <c r="G5" s="20"/>
      <c r="H5" s="20"/>
    </row>
    <row r="6" spans="1:10" ht="15" customHeight="1" x14ac:dyDescent="0.25">
      <c r="A6" s="20" t="s">
        <v>101</v>
      </c>
      <c r="B6" s="20"/>
      <c r="C6" s="20"/>
      <c r="D6" s="20"/>
      <c r="E6" s="20" t="str">
        <f>SUMPRODUCT((F12:F61&gt;E12:E61)*1)&amp;" record(s) where computers used exceeds students present."</f>
        <v>0 record(s) where computers used exceeds students present.</v>
      </c>
      <c r="F6" s="20"/>
      <c r="G6" s="20"/>
      <c r="H6" s="20"/>
    </row>
    <row r="7" spans="1:10" ht="15" customHeight="1" x14ac:dyDescent="0.25">
      <c r="A7" s="20" t="s">
        <v>102</v>
      </c>
      <c r="B7" s="20"/>
      <c r="C7" s="20"/>
      <c r="D7" s="20"/>
      <c r="E7" s="20" t="str">
        <f>SUMPRODUCT(((J12:J61&lt;1)+(J12:J61&gt;5))*1)&amp;" record(s) outside the valid 1.0-5.0 rating scale."</f>
        <v>0 record(s) outside the valid 1.0-5.0 rating scale.</v>
      </c>
      <c r="F7" s="20"/>
      <c r="G7" s="20"/>
      <c r="H7" s="20"/>
    </row>
    <row r="8" spans="1:10" ht="15" customHeight="1" x14ac:dyDescent="0.25">
      <c r="A8" s="20" t="s">
        <v>103</v>
      </c>
      <c r="B8" s="20"/>
      <c r="C8" s="20"/>
      <c r="D8" s="20"/>
      <c r="E8" s="20" t="str">
        <f>SUMPRODUCT((G12:G61&lt;0)+(H12:H61&lt;0)+(I12:I61&lt;0))&amp;" negative value(s) found."</f>
        <v>0 negative value(s) found.</v>
      </c>
      <c r="F8" s="20"/>
      <c r="G8" s="20"/>
      <c r="H8" s="20"/>
    </row>
    <row r="9" spans="1:10" ht="27.75" customHeight="1" x14ac:dyDescent="0.25">
      <c r="A9" s="21" t="s">
        <v>104</v>
      </c>
      <c r="B9" s="21"/>
      <c r="C9" s="21"/>
      <c r="D9" s="21"/>
      <c r="E9" s="21" t="s">
        <v>105</v>
      </c>
      <c r="F9" s="21"/>
      <c r="G9" s="21"/>
      <c r="H9" s="21"/>
    </row>
    <row r="10" spans="1:10" x14ac:dyDescent="0.25">
      <c r="A10" s="6" t="s">
        <v>106</v>
      </c>
    </row>
    <row r="11" spans="1:10" ht="30" x14ac:dyDescent="0.25">
      <c r="A11" s="1" t="s">
        <v>0</v>
      </c>
      <c r="B11" s="1" t="s">
        <v>1</v>
      </c>
      <c r="C11" s="1" t="s">
        <v>2</v>
      </c>
      <c r="D11" s="1" t="s">
        <v>3</v>
      </c>
      <c r="E11" s="1" t="s">
        <v>4</v>
      </c>
      <c r="F11" s="1" t="s">
        <v>5</v>
      </c>
      <c r="G11" s="1" t="s">
        <v>6</v>
      </c>
      <c r="H11" s="1" t="s">
        <v>7</v>
      </c>
      <c r="I11" s="1" t="s">
        <v>8</v>
      </c>
      <c r="J11" s="1" t="s">
        <v>9</v>
      </c>
    </row>
    <row r="12" spans="1:10" x14ac:dyDescent="0.25">
      <c r="A12" s="2" t="str">
        <f>Raw_Data!A2</f>
        <v>L7000</v>
      </c>
      <c r="B12" s="2">
        <f>Raw_Data!B2</f>
        <v>1</v>
      </c>
      <c r="C12" s="3" t="str">
        <f>Raw_Data!C2</f>
        <v>Programming</v>
      </c>
      <c r="D12" s="3" t="str">
        <f>Raw_Data!D2</f>
        <v>Lab 3</v>
      </c>
      <c r="E12" s="2">
        <f>Raw_Data!E2</f>
        <v>30</v>
      </c>
      <c r="F12" s="2">
        <f>Raw_Data!F2</f>
        <v>28</v>
      </c>
      <c r="G12" s="2">
        <f>Raw_Data!G2</f>
        <v>4</v>
      </c>
      <c r="H12" s="2">
        <f>Raw_Data!H2</f>
        <v>0</v>
      </c>
      <c r="I12" s="2">
        <f>Raw_Data!I2</f>
        <v>59</v>
      </c>
      <c r="J12" s="2">
        <f>Raw_Data!J2</f>
        <v>2.8</v>
      </c>
    </row>
    <row r="13" spans="1:10" x14ac:dyDescent="0.25">
      <c r="A13" s="2" t="str">
        <f>Raw_Data!A3</f>
        <v>L7001</v>
      </c>
      <c r="B13" s="2">
        <f>Raw_Data!B3</f>
        <v>2</v>
      </c>
      <c r="C13" s="3" t="str">
        <f>Raw_Data!C3</f>
        <v>Web Development</v>
      </c>
      <c r="D13" s="3" t="str">
        <f>Raw_Data!D3</f>
        <v>Lab 2</v>
      </c>
      <c r="E13" s="2">
        <f>Raw_Data!E3</f>
        <v>32</v>
      </c>
      <c r="F13" s="2">
        <f>Raw_Data!F3</f>
        <v>23</v>
      </c>
      <c r="G13" s="2">
        <f>Raw_Data!G3</f>
        <v>4</v>
      </c>
      <c r="H13" s="2">
        <f>Raw_Data!H3</f>
        <v>4</v>
      </c>
      <c r="I13" s="2">
        <f>Raw_Data!I3</f>
        <v>43</v>
      </c>
      <c r="J13" s="2">
        <f>Raw_Data!J3</f>
        <v>3</v>
      </c>
    </row>
    <row r="14" spans="1:10" x14ac:dyDescent="0.25">
      <c r="A14" s="2" t="str">
        <f>Raw_Data!A4</f>
        <v>L7002</v>
      </c>
      <c r="B14" s="2">
        <f>Raw_Data!B4</f>
        <v>3</v>
      </c>
      <c r="C14" s="3" t="str">
        <f>Raw_Data!C4</f>
        <v>Programming</v>
      </c>
      <c r="D14" s="3" t="str">
        <f>Raw_Data!D4</f>
        <v>Lab 2</v>
      </c>
      <c r="E14" s="2">
        <f>Raw_Data!E4</f>
        <v>16</v>
      </c>
      <c r="F14" s="2">
        <f>Raw_Data!F4</f>
        <v>16</v>
      </c>
      <c r="G14" s="2">
        <f>Raw_Data!G4</f>
        <v>4</v>
      </c>
      <c r="H14" s="2">
        <f>Raw_Data!H4</f>
        <v>3</v>
      </c>
      <c r="I14" s="2">
        <f>Raw_Data!I4</f>
        <v>17</v>
      </c>
      <c r="J14" s="2">
        <f>Raw_Data!J4</f>
        <v>3.4</v>
      </c>
    </row>
    <row r="15" spans="1:10" x14ac:dyDescent="0.25">
      <c r="A15" s="2" t="str">
        <f>Raw_Data!A5</f>
        <v>L7003</v>
      </c>
      <c r="B15" s="2">
        <f>Raw_Data!B5</f>
        <v>4</v>
      </c>
      <c r="C15" s="3" t="str">
        <f>Raw_Data!C5</f>
        <v>Networking</v>
      </c>
      <c r="D15" s="3" t="str">
        <f>Raw_Data!D5</f>
        <v>Lab 3</v>
      </c>
      <c r="E15" s="2">
        <f>Raw_Data!E5</f>
        <v>19</v>
      </c>
      <c r="F15" s="2">
        <f>Raw_Data!F5</f>
        <v>18</v>
      </c>
      <c r="G15" s="2">
        <f>Raw_Data!G5</f>
        <v>4</v>
      </c>
      <c r="H15" s="2">
        <f>Raw_Data!H5</f>
        <v>1</v>
      </c>
      <c r="I15" s="2">
        <f>Raw_Data!I5</f>
        <v>10</v>
      </c>
      <c r="J15" s="2">
        <f>Raw_Data!J5</f>
        <v>4.7</v>
      </c>
    </row>
    <row r="16" spans="1:10" x14ac:dyDescent="0.25">
      <c r="A16" s="2" t="str">
        <f>Raw_Data!A6</f>
        <v>L7004</v>
      </c>
      <c r="B16" s="2">
        <f>Raw_Data!B6</f>
        <v>5</v>
      </c>
      <c r="C16" s="3" t="str">
        <f>Raw_Data!C6</f>
        <v>Web Development</v>
      </c>
      <c r="D16" s="3" t="str">
        <f>Raw_Data!D6</f>
        <v>Lab 1</v>
      </c>
      <c r="E16" s="2">
        <f>Raw_Data!E6</f>
        <v>39</v>
      </c>
      <c r="F16" s="2">
        <f>Raw_Data!F6</f>
        <v>28</v>
      </c>
      <c r="G16" s="2">
        <f>Raw_Data!G6</f>
        <v>3</v>
      </c>
      <c r="H16" s="2">
        <f>Raw_Data!H6</f>
        <v>1</v>
      </c>
      <c r="I16" s="2">
        <f>Raw_Data!I6</f>
        <v>52</v>
      </c>
      <c r="J16" s="2">
        <f>Raw_Data!J6</f>
        <v>2.8</v>
      </c>
    </row>
    <row r="17" spans="1:10" x14ac:dyDescent="0.25">
      <c r="A17" s="2" t="str">
        <f>Raw_Data!A7</f>
        <v>L7005</v>
      </c>
      <c r="B17" s="2">
        <f>Raw_Data!B7</f>
        <v>6</v>
      </c>
      <c r="C17" s="3" t="str">
        <f>Raw_Data!C7</f>
        <v>DBMS</v>
      </c>
      <c r="D17" s="3" t="str">
        <f>Raw_Data!D7</f>
        <v>Lab 1</v>
      </c>
      <c r="E17" s="2">
        <f>Raw_Data!E7</f>
        <v>34</v>
      </c>
      <c r="F17" s="2">
        <f>Raw_Data!F7</f>
        <v>30</v>
      </c>
      <c r="G17" s="2">
        <f>Raw_Data!G7</f>
        <v>2</v>
      </c>
      <c r="H17" s="2">
        <f>Raw_Data!H7</f>
        <v>3</v>
      </c>
      <c r="I17" s="2">
        <f>Raw_Data!I7</f>
        <v>54</v>
      </c>
      <c r="J17" s="2">
        <f>Raw_Data!J7</f>
        <v>2.8</v>
      </c>
    </row>
    <row r="18" spans="1:10" x14ac:dyDescent="0.25">
      <c r="A18" s="2" t="str">
        <f>Raw_Data!A8</f>
        <v>L7006</v>
      </c>
      <c r="B18" s="2">
        <f>Raw_Data!B8</f>
        <v>7</v>
      </c>
      <c r="C18" s="3" t="str">
        <f>Raw_Data!C8</f>
        <v>Networking</v>
      </c>
      <c r="D18" s="3" t="str">
        <f>Raw_Data!D8</f>
        <v>Lab 2</v>
      </c>
      <c r="E18" s="2">
        <f>Raw_Data!E8</f>
        <v>36</v>
      </c>
      <c r="F18" s="2">
        <f>Raw_Data!F8</f>
        <v>36</v>
      </c>
      <c r="G18" s="2">
        <f>Raw_Data!G8</f>
        <v>3</v>
      </c>
      <c r="H18" s="2">
        <f>Raw_Data!H8</f>
        <v>4</v>
      </c>
      <c r="I18" s="2">
        <f>Raw_Data!I8</f>
        <v>20</v>
      </c>
      <c r="J18" s="2">
        <f>Raw_Data!J8</f>
        <v>3.4</v>
      </c>
    </row>
    <row r="19" spans="1:10" x14ac:dyDescent="0.25">
      <c r="A19" s="2" t="str">
        <f>Raw_Data!A9</f>
        <v>L7007</v>
      </c>
      <c r="B19" s="2">
        <f>Raw_Data!B9</f>
        <v>8</v>
      </c>
      <c r="C19" s="3" t="str">
        <f>Raw_Data!C9</f>
        <v>Web Development</v>
      </c>
      <c r="D19" s="3" t="str">
        <f>Raw_Data!D9</f>
        <v>Lab 1</v>
      </c>
      <c r="E19" s="2">
        <f>Raw_Data!E9</f>
        <v>35</v>
      </c>
      <c r="F19" s="2">
        <f>Raw_Data!F9</f>
        <v>35</v>
      </c>
      <c r="G19" s="2">
        <f>Raw_Data!G9</f>
        <v>2</v>
      </c>
      <c r="H19" s="2">
        <f>Raw_Data!H9</f>
        <v>2</v>
      </c>
      <c r="I19" s="2">
        <f>Raw_Data!I9</f>
        <v>45</v>
      </c>
      <c r="J19" s="2">
        <f>Raw_Data!J9</f>
        <v>3.1</v>
      </c>
    </row>
    <row r="20" spans="1:10" x14ac:dyDescent="0.25">
      <c r="A20" s="2" t="str">
        <f>Raw_Data!A10</f>
        <v>L7008</v>
      </c>
      <c r="B20" s="2">
        <f>Raw_Data!B10</f>
        <v>9</v>
      </c>
      <c r="C20" s="3" t="str">
        <f>Raw_Data!C10</f>
        <v>DBMS</v>
      </c>
      <c r="D20" s="3" t="str">
        <f>Raw_Data!D10</f>
        <v>Lab 1</v>
      </c>
      <c r="E20" s="2">
        <f>Raw_Data!E10</f>
        <v>31</v>
      </c>
      <c r="F20" s="2">
        <f>Raw_Data!F10</f>
        <v>31</v>
      </c>
      <c r="G20" s="2">
        <f>Raw_Data!G10</f>
        <v>1</v>
      </c>
      <c r="H20" s="2">
        <f>Raw_Data!H10</f>
        <v>0</v>
      </c>
      <c r="I20" s="2">
        <f>Raw_Data!I10</f>
        <v>8</v>
      </c>
      <c r="J20" s="2">
        <f>Raw_Data!J10</f>
        <v>5</v>
      </c>
    </row>
    <row r="21" spans="1:10" x14ac:dyDescent="0.25">
      <c r="A21" s="2" t="str">
        <f>Raw_Data!A11</f>
        <v>L7009</v>
      </c>
      <c r="B21" s="2">
        <f>Raw_Data!B11</f>
        <v>10</v>
      </c>
      <c r="C21" s="3" t="str">
        <f>Raw_Data!C11</f>
        <v>Programming</v>
      </c>
      <c r="D21" s="3" t="str">
        <f>Raw_Data!D11</f>
        <v>Lab 1</v>
      </c>
      <c r="E21" s="2">
        <f>Raw_Data!E11</f>
        <v>27</v>
      </c>
      <c r="F21" s="2">
        <f>Raw_Data!F11</f>
        <v>27</v>
      </c>
      <c r="G21" s="2">
        <f>Raw_Data!G11</f>
        <v>4</v>
      </c>
      <c r="H21" s="2">
        <f>Raw_Data!H11</f>
        <v>3</v>
      </c>
      <c r="I21" s="2">
        <f>Raw_Data!I11</f>
        <v>52</v>
      </c>
      <c r="J21" s="2">
        <f>Raw_Data!J11</f>
        <v>2.8</v>
      </c>
    </row>
    <row r="22" spans="1:10" x14ac:dyDescent="0.25">
      <c r="A22" s="2" t="str">
        <f>Raw_Data!A12</f>
        <v>L7010</v>
      </c>
      <c r="B22" s="2">
        <f>Raw_Data!B12</f>
        <v>11</v>
      </c>
      <c r="C22" s="3" t="str">
        <f>Raw_Data!C12</f>
        <v>DBMS</v>
      </c>
      <c r="D22" s="3" t="str">
        <f>Raw_Data!D12</f>
        <v>Lab 2</v>
      </c>
      <c r="E22" s="2">
        <f>Raw_Data!E12</f>
        <v>24</v>
      </c>
      <c r="F22" s="2">
        <f>Raw_Data!F12</f>
        <v>22</v>
      </c>
      <c r="G22" s="2">
        <f>Raw_Data!G12</f>
        <v>2</v>
      </c>
      <c r="H22" s="2">
        <f>Raw_Data!H12</f>
        <v>3</v>
      </c>
      <c r="I22" s="2">
        <f>Raw_Data!I12</f>
        <v>26</v>
      </c>
      <c r="J22" s="2">
        <f>Raw_Data!J12</f>
        <v>3.5</v>
      </c>
    </row>
    <row r="23" spans="1:10" x14ac:dyDescent="0.25">
      <c r="A23" s="2" t="str">
        <f>Raw_Data!A13</f>
        <v>L7011</v>
      </c>
      <c r="B23" s="2">
        <f>Raw_Data!B13</f>
        <v>12</v>
      </c>
      <c r="C23" s="3" t="str">
        <f>Raw_Data!C13</f>
        <v>DBMS</v>
      </c>
      <c r="D23" s="3" t="str">
        <f>Raw_Data!D13</f>
        <v>Lab 3</v>
      </c>
      <c r="E23" s="2">
        <f>Raw_Data!E13</f>
        <v>16</v>
      </c>
      <c r="F23" s="2">
        <f>Raw_Data!F13</f>
        <v>16</v>
      </c>
      <c r="G23" s="2">
        <f>Raw_Data!G13</f>
        <v>3</v>
      </c>
      <c r="H23" s="2">
        <f>Raw_Data!H13</f>
        <v>4</v>
      </c>
      <c r="I23" s="2">
        <f>Raw_Data!I13</f>
        <v>7</v>
      </c>
      <c r="J23" s="2">
        <f>Raw_Data!J13</f>
        <v>3.3</v>
      </c>
    </row>
    <row r="24" spans="1:10" x14ac:dyDescent="0.25">
      <c r="A24" s="2" t="str">
        <f>Raw_Data!A14</f>
        <v>L7012</v>
      </c>
      <c r="B24" s="2">
        <f>Raw_Data!B14</f>
        <v>13</v>
      </c>
      <c r="C24" s="3" t="str">
        <f>Raw_Data!C14</f>
        <v>Web Development</v>
      </c>
      <c r="D24" s="3" t="str">
        <f>Raw_Data!D14</f>
        <v>Lab 2</v>
      </c>
      <c r="E24" s="2">
        <f>Raw_Data!E14</f>
        <v>33</v>
      </c>
      <c r="F24" s="2">
        <f>Raw_Data!F14</f>
        <v>28</v>
      </c>
      <c r="G24" s="2">
        <f>Raw_Data!G14</f>
        <v>1</v>
      </c>
      <c r="H24" s="2">
        <f>Raw_Data!H14</f>
        <v>0</v>
      </c>
      <c r="I24" s="2">
        <f>Raw_Data!I14</f>
        <v>27</v>
      </c>
      <c r="J24" s="2">
        <f>Raw_Data!J14</f>
        <v>4.3</v>
      </c>
    </row>
    <row r="25" spans="1:10" x14ac:dyDescent="0.25">
      <c r="A25" s="2" t="str">
        <f>Raw_Data!A15</f>
        <v>L7013</v>
      </c>
      <c r="B25" s="2">
        <f>Raw_Data!B15</f>
        <v>14</v>
      </c>
      <c r="C25" s="3" t="str">
        <f>Raw_Data!C15</f>
        <v>Programming</v>
      </c>
      <c r="D25" s="3" t="str">
        <f>Raw_Data!D15</f>
        <v>Lab 1</v>
      </c>
      <c r="E25" s="2">
        <f>Raw_Data!E15</f>
        <v>35</v>
      </c>
      <c r="F25" s="2">
        <f>Raw_Data!F15</f>
        <v>35</v>
      </c>
      <c r="G25" s="2">
        <f>Raw_Data!G15</f>
        <v>3</v>
      </c>
      <c r="H25" s="2">
        <f>Raw_Data!H15</f>
        <v>0</v>
      </c>
      <c r="I25" s="2">
        <f>Raw_Data!I15</f>
        <v>10</v>
      </c>
      <c r="J25" s="2">
        <f>Raw_Data!J15</f>
        <v>5</v>
      </c>
    </row>
    <row r="26" spans="1:10" x14ac:dyDescent="0.25">
      <c r="A26" s="2" t="str">
        <f>Raw_Data!A16</f>
        <v>L7014</v>
      </c>
      <c r="B26" s="2">
        <f>Raw_Data!B16</f>
        <v>15</v>
      </c>
      <c r="C26" s="3" t="str">
        <f>Raw_Data!C16</f>
        <v>Programming</v>
      </c>
      <c r="D26" s="3" t="str">
        <f>Raw_Data!D16</f>
        <v>Lab 1</v>
      </c>
      <c r="E26" s="2">
        <f>Raw_Data!E16</f>
        <v>23</v>
      </c>
      <c r="F26" s="2">
        <f>Raw_Data!F16</f>
        <v>20</v>
      </c>
      <c r="G26" s="2">
        <f>Raw_Data!G16</f>
        <v>4</v>
      </c>
      <c r="H26" s="2">
        <f>Raw_Data!H16</f>
        <v>1</v>
      </c>
      <c r="I26" s="2">
        <f>Raw_Data!I16</f>
        <v>24</v>
      </c>
      <c r="J26" s="2">
        <f>Raw_Data!J16</f>
        <v>3.9</v>
      </c>
    </row>
    <row r="27" spans="1:10" x14ac:dyDescent="0.25">
      <c r="A27" s="2" t="str">
        <f>Raw_Data!A17</f>
        <v>L7015</v>
      </c>
      <c r="B27" s="2">
        <f>Raw_Data!B17</f>
        <v>16</v>
      </c>
      <c r="C27" s="3" t="str">
        <f>Raw_Data!C17</f>
        <v>DBMS</v>
      </c>
      <c r="D27" s="3" t="str">
        <f>Raw_Data!D17</f>
        <v>Lab 1</v>
      </c>
      <c r="E27" s="2">
        <f>Raw_Data!E17</f>
        <v>39</v>
      </c>
      <c r="F27" s="2">
        <f>Raw_Data!F17</f>
        <v>39</v>
      </c>
      <c r="G27" s="2">
        <f>Raw_Data!G17</f>
        <v>4</v>
      </c>
      <c r="H27" s="2">
        <f>Raw_Data!H17</f>
        <v>0</v>
      </c>
      <c r="I27" s="2">
        <f>Raw_Data!I17</f>
        <v>6</v>
      </c>
      <c r="J27" s="2">
        <f>Raw_Data!J17</f>
        <v>4.5</v>
      </c>
    </row>
    <row r="28" spans="1:10" x14ac:dyDescent="0.25">
      <c r="A28" s="2" t="str">
        <f>Raw_Data!A18</f>
        <v>L7016</v>
      </c>
      <c r="B28" s="2">
        <f>Raw_Data!B18</f>
        <v>17</v>
      </c>
      <c r="C28" s="3" t="str">
        <f>Raw_Data!C18</f>
        <v>Programming</v>
      </c>
      <c r="D28" s="3" t="str">
        <f>Raw_Data!D18</f>
        <v>Lab 3</v>
      </c>
      <c r="E28" s="2">
        <f>Raw_Data!E18</f>
        <v>27</v>
      </c>
      <c r="F28" s="2">
        <f>Raw_Data!F18</f>
        <v>24</v>
      </c>
      <c r="G28" s="2">
        <f>Raw_Data!G18</f>
        <v>1</v>
      </c>
      <c r="H28" s="2">
        <f>Raw_Data!H18</f>
        <v>4</v>
      </c>
      <c r="I28" s="2">
        <f>Raw_Data!I18</f>
        <v>7</v>
      </c>
      <c r="J28" s="2">
        <f>Raw_Data!J18</f>
        <v>3.5</v>
      </c>
    </row>
    <row r="29" spans="1:10" x14ac:dyDescent="0.25">
      <c r="A29" s="2" t="str">
        <f>Raw_Data!A19</f>
        <v>L7017</v>
      </c>
      <c r="B29" s="2">
        <f>Raw_Data!B19</f>
        <v>18</v>
      </c>
      <c r="C29" s="3" t="str">
        <f>Raw_Data!C19</f>
        <v>Networking</v>
      </c>
      <c r="D29" s="3" t="str">
        <f>Raw_Data!D19</f>
        <v>Lab 1</v>
      </c>
      <c r="E29" s="2">
        <f>Raw_Data!E19</f>
        <v>39</v>
      </c>
      <c r="F29" s="2">
        <f>Raw_Data!F19</f>
        <v>16</v>
      </c>
      <c r="G29" s="2">
        <f>Raw_Data!G19</f>
        <v>4</v>
      </c>
      <c r="H29" s="2">
        <f>Raw_Data!H19</f>
        <v>4</v>
      </c>
      <c r="I29" s="2">
        <f>Raw_Data!I19</f>
        <v>58</v>
      </c>
      <c r="J29" s="2">
        <f>Raw_Data!J19</f>
        <v>2.2999999999999998</v>
      </c>
    </row>
    <row r="30" spans="1:10" x14ac:dyDescent="0.25">
      <c r="A30" s="2" t="str">
        <f>Raw_Data!A20</f>
        <v>L7018</v>
      </c>
      <c r="B30" s="2">
        <f>Raw_Data!B20</f>
        <v>19</v>
      </c>
      <c r="C30" s="3" t="str">
        <f>Raw_Data!C20</f>
        <v>DBMS</v>
      </c>
      <c r="D30" s="3" t="str">
        <f>Raw_Data!D20</f>
        <v>Lab 2</v>
      </c>
      <c r="E30" s="2">
        <f>Raw_Data!E20</f>
        <v>38</v>
      </c>
      <c r="F30" s="2">
        <f>Raw_Data!F20</f>
        <v>25</v>
      </c>
      <c r="G30" s="2">
        <f>Raw_Data!G20</f>
        <v>1</v>
      </c>
      <c r="H30" s="2">
        <f>Raw_Data!H20</f>
        <v>3</v>
      </c>
      <c r="I30" s="2">
        <f>Raw_Data!I20</f>
        <v>58</v>
      </c>
      <c r="J30" s="2">
        <f>Raw_Data!J20</f>
        <v>1.9</v>
      </c>
    </row>
    <row r="31" spans="1:10" x14ac:dyDescent="0.25">
      <c r="A31" s="2" t="str">
        <f>Raw_Data!A21</f>
        <v>L7019</v>
      </c>
      <c r="B31" s="2">
        <f>Raw_Data!B21</f>
        <v>20</v>
      </c>
      <c r="C31" s="3" t="str">
        <f>Raw_Data!C21</f>
        <v>Web Development</v>
      </c>
      <c r="D31" s="3" t="str">
        <f>Raw_Data!D21</f>
        <v>Lab 1</v>
      </c>
      <c r="E31" s="2">
        <f>Raw_Data!E21</f>
        <v>26</v>
      </c>
      <c r="F31" s="2">
        <f>Raw_Data!F21</f>
        <v>25</v>
      </c>
      <c r="G31" s="2">
        <f>Raw_Data!G21</f>
        <v>3</v>
      </c>
      <c r="H31" s="2">
        <f>Raw_Data!H21</f>
        <v>4</v>
      </c>
      <c r="I31" s="2">
        <f>Raw_Data!I21</f>
        <v>52</v>
      </c>
      <c r="J31" s="2">
        <f>Raw_Data!J21</f>
        <v>1.9</v>
      </c>
    </row>
    <row r="32" spans="1:10" x14ac:dyDescent="0.25">
      <c r="A32" s="2" t="str">
        <f>Raw_Data!A22</f>
        <v>L7020</v>
      </c>
      <c r="B32" s="2">
        <f>Raw_Data!B22</f>
        <v>21</v>
      </c>
      <c r="C32" s="3" t="str">
        <f>Raw_Data!C22</f>
        <v>Networking</v>
      </c>
      <c r="D32" s="3" t="str">
        <f>Raw_Data!D22</f>
        <v>Lab 3</v>
      </c>
      <c r="E32" s="2">
        <f>Raw_Data!E22</f>
        <v>27</v>
      </c>
      <c r="F32" s="2">
        <f>Raw_Data!F22</f>
        <v>27</v>
      </c>
      <c r="G32" s="2">
        <f>Raw_Data!G22</f>
        <v>2</v>
      </c>
      <c r="H32" s="2">
        <f>Raw_Data!H22</f>
        <v>4</v>
      </c>
      <c r="I32" s="2">
        <f>Raw_Data!I22</f>
        <v>50</v>
      </c>
      <c r="J32" s="2">
        <f>Raw_Data!J22</f>
        <v>1.7</v>
      </c>
    </row>
    <row r="33" spans="1:10" x14ac:dyDescent="0.25">
      <c r="A33" s="2" t="str">
        <f>Raw_Data!A23</f>
        <v>L7021</v>
      </c>
      <c r="B33" s="2">
        <f>Raw_Data!B23</f>
        <v>22</v>
      </c>
      <c r="C33" s="3" t="str">
        <f>Raw_Data!C23</f>
        <v>DBMS</v>
      </c>
      <c r="D33" s="3" t="str">
        <f>Raw_Data!D23</f>
        <v>Lab 2</v>
      </c>
      <c r="E33" s="2">
        <f>Raw_Data!E23</f>
        <v>36</v>
      </c>
      <c r="F33" s="2">
        <f>Raw_Data!F23</f>
        <v>28</v>
      </c>
      <c r="G33" s="2">
        <f>Raw_Data!G23</f>
        <v>2</v>
      </c>
      <c r="H33" s="2">
        <f>Raw_Data!H23</f>
        <v>0</v>
      </c>
      <c r="I33" s="2">
        <f>Raw_Data!I23</f>
        <v>2</v>
      </c>
      <c r="J33" s="2">
        <f>Raw_Data!J23</f>
        <v>5</v>
      </c>
    </row>
    <row r="34" spans="1:10" x14ac:dyDescent="0.25">
      <c r="A34" s="2" t="str">
        <f>Raw_Data!A24</f>
        <v>L7022</v>
      </c>
      <c r="B34" s="2">
        <f>Raw_Data!B24</f>
        <v>23</v>
      </c>
      <c r="C34" s="3" t="str">
        <f>Raw_Data!C24</f>
        <v>Networking</v>
      </c>
      <c r="D34" s="3" t="str">
        <f>Raw_Data!D24</f>
        <v>Lab 1</v>
      </c>
      <c r="E34" s="2">
        <f>Raw_Data!E24</f>
        <v>25</v>
      </c>
      <c r="F34" s="2">
        <f>Raw_Data!F24</f>
        <v>24</v>
      </c>
      <c r="G34" s="2">
        <f>Raw_Data!G24</f>
        <v>3</v>
      </c>
      <c r="H34" s="2">
        <f>Raw_Data!H24</f>
        <v>4</v>
      </c>
      <c r="I34" s="2">
        <f>Raw_Data!I24</f>
        <v>22</v>
      </c>
      <c r="J34" s="2">
        <f>Raw_Data!J24</f>
        <v>3.5</v>
      </c>
    </row>
    <row r="35" spans="1:10" x14ac:dyDescent="0.25">
      <c r="A35" s="2" t="str">
        <f>Raw_Data!A25</f>
        <v>L7023</v>
      </c>
      <c r="B35" s="2">
        <f>Raw_Data!B25</f>
        <v>24</v>
      </c>
      <c r="C35" s="3" t="str">
        <f>Raw_Data!C25</f>
        <v>Networking</v>
      </c>
      <c r="D35" s="3" t="str">
        <f>Raw_Data!D25</f>
        <v>Lab 1</v>
      </c>
      <c r="E35" s="2">
        <f>Raw_Data!E25</f>
        <v>22</v>
      </c>
      <c r="F35" s="2">
        <f>Raw_Data!F25</f>
        <v>22</v>
      </c>
      <c r="G35" s="2">
        <f>Raw_Data!G25</f>
        <v>1</v>
      </c>
      <c r="H35" s="2">
        <f>Raw_Data!H25</f>
        <v>2</v>
      </c>
      <c r="I35" s="2">
        <f>Raw_Data!I25</f>
        <v>18</v>
      </c>
      <c r="J35" s="2">
        <f>Raw_Data!J25</f>
        <v>4</v>
      </c>
    </row>
    <row r="36" spans="1:10" x14ac:dyDescent="0.25">
      <c r="A36" s="2" t="str">
        <f>Raw_Data!A26</f>
        <v>L7024</v>
      </c>
      <c r="B36" s="2">
        <f>Raw_Data!B26</f>
        <v>25</v>
      </c>
      <c r="C36" s="3" t="str">
        <f>Raw_Data!C26</f>
        <v>DBMS</v>
      </c>
      <c r="D36" s="3" t="str">
        <f>Raw_Data!D26</f>
        <v>Lab 2</v>
      </c>
      <c r="E36" s="2">
        <f>Raw_Data!E26</f>
        <v>40</v>
      </c>
      <c r="F36" s="2">
        <f>Raw_Data!F26</f>
        <v>22</v>
      </c>
      <c r="G36" s="2">
        <f>Raw_Data!G26</f>
        <v>2</v>
      </c>
      <c r="H36" s="2">
        <f>Raw_Data!H26</f>
        <v>2</v>
      </c>
      <c r="I36" s="2">
        <f>Raw_Data!I26</f>
        <v>10</v>
      </c>
      <c r="J36" s="2">
        <f>Raw_Data!J26</f>
        <v>4</v>
      </c>
    </row>
    <row r="37" spans="1:10" x14ac:dyDescent="0.25">
      <c r="A37" s="2" t="str">
        <f>Raw_Data!A27</f>
        <v>L7025</v>
      </c>
      <c r="B37" s="2">
        <f>Raw_Data!B27</f>
        <v>26</v>
      </c>
      <c r="C37" s="3" t="str">
        <f>Raw_Data!C27</f>
        <v>DBMS</v>
      </c>
      <c r="D37" s="3" t="str">
        <f>Raw_Data!D27</f>
        <v>Lab 3</v>
      </c>
      <c r="E37" s="2">
        <f>Raw_Data!E27</f>
        <v>27</v>
      </c>
      <c r="F37" s="2">
        <f>Raw_Data!F27</f>
        <v>27</v>
      </c>
      <c r="G37" s="2">
        <f>Raw_Data!G27</f>
        <v>1</v>
      </c>
      <c r="H37" s="2">
        <f>Raw_Data!H27</f>
        <v>3</v>
      </c>
      <c r="I37" s="2">
        <f>Raw_Data!I27</f>
        <v>36</v>
      </c>
      <c r="J37" s="2">
        <f>Raw_Data!J27</f>
        <v>2.6</v>
      </c>
    </row>
    <row r="38" spans="1:10" x14ac:dyDescent="0.25">
      <c r="A38" s="2" t="str">
        <f>Raw_Data!A28</f>
        <v>L7026</v>
      </c>
      <c r="B38" s="2">
        <f>Raw_Data!B28</f>
        <v>27</v>
      </c>
      <c r="C38" s="3" t="str">
        <f>Raw_Data!C28</f>
        <v>Web Development</v>
      </c>
      <c r="D38" s="3" t="str">
        <f>Raw_Data!D28</f>
        <v>Lab 2</v>
      </c>
      <c r="E38" s="2">
        <f>Raw_Data!E28</f>
        <v>19</v>
      </c>
      <c r="F38" s="2">
        <f>Raw_Data!F28</f>
        <v>19</v>
      </c>
      <c r="G38" s="2">
        <f>Raw_Data!G28</f>
        <v>2</v>
      </c>
      <c r="H38" s="2">
        <f>Raw_Data!H28</f>
        <v>3</v>
      </c>
      <c r="I38" s="2">
        <f>Raw_Data!I28</f>
        <v>8</v>
      </c>
      <c r="J38" s="2">
        <f>Raw_Data!J28</f>
        <v>3.8</v>
      </c>
    </row>
    <row r="39" spans="1:10" x14ac:dyDescent="0.25">
      <c r="A39" s="2" t="str">
        <f>Raw_Data!A29</f>
        <v>L7027</v>
      </c>
      <c r="B39" s="2">
        <f>Raw_Data!B29</f>
        <v>28</v>
      </c>
      <c r="C39" s="3" t="str">
        <f>Raw_Data!C29</f>
        <v>Networking</v>
      </c>
      <c r="D39" s="3" t="str">
        <f>Raw_Data!D29</f>
        <v>Lab 3</v>
      </c>
      <c r="E39" s="2">
        <f>Raw_Data!E29</f>
        <v>34</v>
      </c>
      <c r="F39" s="2">
        <f>Raw_Data!F29</f>
        <v>18</v>
      </c>
      <c r="G39" s="2">
        <f>Raw_Data!G29</f>
        <v>2</v>
      </c>
      <c r="H39" s="2">
        <f>Raw_Data!H29</f>
        <v>1</v>
      </c>
      <c r="I39" s="2">
        <f>Raw_Data!I29</f>
        <v>48</v>
      </c>
      <c r="J39" s="2">
        <f>Raw_Data!J29</f>
        <v>3.3</v>
      </c>
    </row>
    <row r="40" spans="1:10" x14ac:dyDescent="0.25">
      <c r="A40" s="2" t="str">
        <f>Raw_Data!A30</f>
        <v>L7028</v>
      </c>
      <c r="B40" s="2">
        <f>Raw_Data!B30</f>
        <v>29</v>
      </c>
      <c r="C40" s="3" t="str">
        <f>Raw_Data!C30</f>
        <v>Networking</v>
      </c>
      <c r="D40" s="3" t="str">
        <f>Raw_Data!D30</f>
        <v>Lab 3</v>
      </c>
      <c r="E40" s="2">
        <f>Raw_Data!E30</f>
        <v>23</v>
      </c>
      <c r="F40" s="2">
        <f>Raw_Data!F30</f>
        <v>23</v>
      </c>
      <c r="G40" s="2">
        <f>Raw_Data!G30</f>
        <v>3</v>
      </c>
      <c r="H40" s="2">
        <f>Raw_Data!H30</f>
        <v>3</v>
      </c>
      <c r="I40" s="2">
        <f>Raw_Data!I30</f>
        <v>43</v>
      </c>
      <c r="J40" s="2">
        <f>Raw_Data!J30</f>
        <v>2.9</v>
      </c>
    </row>
    <row r="41" spans="1:10" x14ac:dyDescent="0.25">
      <c r="A41" s="2" t="str">
        <f>Raw_Data!A31</f>
        <v>L7029</v>
      </c>
      <c r="B41" s="2">
        <f>Raw_Data!B31</f>
        <v>30</v>
      </c>
      <c r="C41" s="3" t="str">
        <f>Raw_Data!C31</f>
        <v>Web Development</v>
      </c>
      <c r="D41" s="3" t="str">
        <f>Raw_Data!D31</f>
        <v>Lab 1</v>
      </c>
      <c r="E41" s="2">
        <f>Raw_Data!E31</f>
        <v>17</v>
      </c>
      <c r="F41" s="2">
        <f>Raw_Data!F31</f>
        <v>17</v>
      </c>
      <c r="G41" s="2">
        <f>Raw_Data!G31</f>
        <v>2</v>
      </c>
      <c r="H41" s="2">
        <f>Raw_Data!H31</f>
        <v>2</v>
      </c>
      <c r="I41" s="2">
        <f>Raw_Data!I31</f>
        <v>4</v>
      </c>
      <c r="J41" s="2">
        <f>Raw_Data!J31</f>
        <v>4.2</v>
      </c>
    </row>
    <row r="42" spans="1:10" x14ac:dyDescent="0.25">
      <c r="A42" s="2" t="str">
        <f>Raw_Data!A32</f>
        <v>L7030</v>
      </c>
      <c r="B42" s="2">
        <f>Raw_Data!B32</f>
        <v>31</v>
      </c>
      <c r="C42" s="3" t="str">
        <f>Raw_Data!C32</f>
        <v>Web Development</v>
      </c>
      <c r="D42" s="3" t="str">
        <f>Raw_Data!D32</f>
        <v>Lab 3</v>
      </c>
      <c r="E42" s="2">
        <f>Raw_Data!E32</f>
        <v>31</v>
      </c>
      <c r="F42" s="2">
        <f>Raw_Data!F32</f>
        <v>19</v>
      </c>
      <c r="G42" s="2">
        <f>Raw_Data!G32</f>
        <v>1</v>
      </c>
      <c r="H42" s="2">
        <f>Raw_Data!H32</f>
        <v>4</v>
      </c>
      <c r="I42" s="2">
        <f>Raw_Data!I32</f>
        <v>1</v>
      </c>
      <c r="J42" s="2">
        <f>Raw_Data!J32</f>
        <v>4</v>
      </c>
    </row>
    <row r="43" spans="1:10" x14ac:dyDescent="0.25">
      <c r="A43" s="2" t="str">
        <f>Raw_Data!A33</f>
        <v>L7031</v>
      </c>
      <c r="B43" s="2">
        <f>Raw_Data!B33</f>
        <v>32</v>
      </c>
      <c r="C43" s="3" t="str">
        <f>Raw_Data!C33</f>
        <v>Networking</v>
      </c>
      <c r="D43" s="3" t="str">
        <f>Raw_Data!D33</f>
        <v>Lab 2</v>
      </c>
      <c r="E43" s="2">
        <f>Raw_Data!E33</f>
        <v>39</v>
      </c>
      <c r="F43" s="2">
        <f>Raw_Data!F33</f>
        <v>21</v>
      </c>
      <c r="G43" s="2">
        <f>Raw_Data!G33</f>
        <v>1</v>
      </c>
      <c r="H43" s="2">
        <f>Raw_Data!H33</f>
        <v>0</v>
      </c>
      <c r="I43" s="2">
        <f>Raw_Data!I33</f>
        <v>20</v>
      </c>
      <c r="J43" s="2">
        <f>Raw_Data!J33</f>
        <v>4.3</v>
      </c>
    </row>
    <row r="44" spans="1:10" x14ac:dyDescent="0.25">
      <c r="A44" s="2" t="str">
        <f>Raw_Data!A34</f>
        <v>L7032</v>
      </c>
      <c r="B44" s="2">
        <f>Raw_Data!B34</f>
        <v>33</v>
      </c>
      <c r="C44" s="3" t="str">
        <f>Raw_Data!C34</f>
        <v>Web Development</v>
      </c>
      <c r="D44" s="3" t="str">
        <f>Raw_Data!D34</f>
        <v>Lab 2</v>
      </c>
      <c r="E44" s="2">
        <f>Raw_Data!E34</f>
        <v>22</v>
      </c>
      <c r="F44" s="2">
        <f>Raw_Data!F34</f>
        <v>20</v>
      </c>
      <c r="G44" s="2">
        <f>Raw_Data!G34</f>
        <v>2</v>
      </c>
      <c r="H44" s="2">
        <f>Raw_Data!H34</f>
        <v>4</v>
      </c>
      <c r="I44" s="2">
        <f>Raw_Data!I34</f>
        <v>50</v>
      </c>
      <c r="J44" s="2">
        <f>Raw_Data!J34</f>
        <v>2.1</v>
      </c>
    </row>
    <row r="45" spans="1:10" x14ac:dyDescent="0.25">
      <c r="A45" s="2" t="str">
        <f>Raw_Data!A35</f>
        <v>L7033</v>
      </c>
      <c r="B45" s="2">
        <f>Raw_Data!B35</f>
        <v>34</v>
      </c>
      <c r="C45" s="3" t="str">
        <f>Raw_Data!C35</f>
        <v>Programming</v>
      </c>
      <c r="D45" s="3" t="str">
        <f>Raw_Data!D35</f>
        <v>Lab 3</v>
      </c>
      <c r="E45" s="2">
        <f>Raw_Data!E35</f>
        <v>24</v>
      </c>
      <c r="F45" s="2">
        <f>Raw_Data!F35</f>
        <v>24</v>
      </c>
      <c r="G45" s="2">
        <f>Raw_Data!G35</f>
        <v>4</v>
      </c>
      <c r="H45" s="2">
        <f>Raw_Data!H35</f>
        <v>3</v>
      </c>
      <c r="I45" s="2">
        <f>Raw_Data!I35</f>
        <v>33</v>
      </c>
      <c r="J45" s="2">
        <f>Raw_Data!J35</f>
        <v>3.7</v>
      </c>
    </row>
    <row r="46" spans="1:10" x14ac:dyDescent="0.25">
      <c r="A46" s="2" t="str">
        <f>Raw_Data!A36</f>
        <v>L7034</v>
      </c>
      <c r="B46" s="2">
        <f>Raw_Data!B36</f>
        <v>35</v>
      </c>
      <c r="C46" s="3" t="str">
        <f>Raw_Data!C36</f>
        <v>DBMS</v>
      </c>
      <c r="D46" s="3" t="str">
        <f>Raw_Data!D36</f>
        <v>Lab 3</v>
      </c>
      <c r="E46" s="2">
        <f>Raw_Data!E36</f>
        <v>38</v>
      </c>
      <c r="F46" s="2">
        <f>Raw_Data!F36</f>
        <v>18</v>
      </c>
      <c r="G46" s="2">
        <f>Raw_Data!G36</f>
        <v>2</v>
      </c>
      <c r="H46" s="2">
        <f>Raw_Data!H36</f>
        <v>3</v>
      </c>
      <c r="I46" s="2">
        <f>Raw_Data!I36</f>
        <v>8</v>
      </c>
      <c r="J46" s="2">
        <f>Raw_Data!J36</f>
        <v>3.6</v>
      </c>
    </row>
    <row r="47" spans="1:10" x14ac:dyDescent="0.25">
      <c r="A47" s="2" t="str">
        <f>Raw_Data!A37</f>
        <v>L7035</v>
      </c>
      <c r="B47" s="2">
        <f>Raw_Data!B37</f>
        <v>36</v>
      </c>
      <c r="C47" s="3" t="str">
        <f>Raw_Data!C37</f>
        <v>Web Development</v>
      </c>
      <c r="D47" s="3" t="str">
        <f>Raw_Data!D37</f>
        <v>Lab 1</v>
      </c>
      <c r="E47" s="2">
        <f>Raw_Data!E37</f>
        <v>25</v>
      </c>
      <c r="F47" s="2">
        <f>Raw_Data!F37</f>
        <v>25</v>
      </c>
      <c r="G47" s="2">
        <f>Raw_Data!G37</f>
        <v>2</v>
      </c>
      <c r="H47" s="2">
        <f>Raw_Data!H37</f>
        <v>1</v>
      </c>
      <c r="I47" s="2">
        <f>Raw_Data!I37</f>
        <v>39</v>
      </c>
      <c r="J47" s="2">
        <f>Raw_Data!J37</f>
        <v>3.6</v>
      </c>
    </row>
    <row r="48" spans="1:10" x14ac:dyDescent="0.25">
      <c r="A48" s="2" t="str">
        <f>Raw_Data!A38</f>
        <v>L7036</v>
      </c>
      <c r="B48" s="2">
        <f>Raw_Data!B38</f>
        <v>37</v>
      </c>
      <c r="C48" s="3" t="str">
        <f>Raw_Data!C38</f>
        <v>Web Development</v>
      </c>
      <c r="D48" s="3" t="str">
        <f>Raw_Data!D38</f>
        <v>Lab 3</v>
      </c>
      <c r="E48" s="2">
        <f>Raw_Data!E38</f>
        <v>17</v>
      </c>
      <c r="F48" s="2">
        <f>Raw_Data!F38</f>
        <v>17</v>
      </c>
      <c r="G48" s="2">
        <f>Raw_Data!G38</f>
        <v>1</v>
      </c>
      <c r="H48" s="2">
        <f>Raw_Data!H38</f>
        <v>1</v>
      </c>
      <c r="I48" s="2">
        <f>Raw_Data!I38</f>
        <v>24</v>
      </c>
      <c r="J48" s="2">
        <f>Raw_Data!J38</f>
        <v>4.3</v>
      </c>
    </row>
    <row r="49" spans="1:10" x14ac:dyDescent="0.25">
      <c r="A49" s="2" t="str">
        <f>Raw_Data!A39</f>
        <v>L7037</v>
      </c>
      <c r="B49" s="2">
        <f>Raw_Data!B39</f>
        <v>38</v>
      </c>
      <c r="C49" s="3" t="str">
        <f>Raw_Data!C39</f>
        <v>Networking</v>
      </c>
      <c r="D49" s="3" t="str">
        <f>Raw_Data!D39</f>
        <v>Lab 1</v>
      </c>
      <c r="E49" s="2">
        <f>Raw_Data!E39</f>
        <v>15</v>
      </c>
      <c r="F49" s="2">
        <f>Raw_Data!F39</f>
        <v>15</v>
      </c>
      <c r="G49" s="2">
        <f>Raw_Data!G39</f>
        <v>4</v>
      </c>
      <c r="H49" s="2">
        <f>Raw_Data!H39</f>
        <v>3</v>
      </c>
      <c r="I49" s="2">
        <f>Raw_Data!I39</f>
        <v>11</v>
      </c>
      <c r="J49" s="2">
        <f>Raw_Data!J39</f>
        <v>3.8</v>
      </c>
    </row>
    <row r="50" spans="1:10" x14ac:dyDescent="0.25">
      <c r="A50" s="2" t="str">
        <f>Raw_Data!A40</f>
        <v>L7038</v>
      </c>
      <c r="B50" s="2">
        <f>Raw_Data!B40</f>
        <v>39</v>
      </c>
      <c r="C50" s="3" t="str">
        <f>Raw_Data!C40</f>
        <v>Networking</v>
      </c>
      <c r="D50" s="3" t="str">
        <f>Raw_Data!D40</f>
        <v>Lab 1</v>
      </c>
      <c r="E50" s="2">
        <f>Raw_Data!E40</f>
        <v>37</v>
      </c>
      <c r="F50" s="2">
        <f>Raw_Data!F40</f>
        <v>33</v>
      </c>
      <c r="G50" s="2">
        <f>Raw_Data!G40</f>
        <v>1</v>
      </c>
      <c r="H50" s="2">
        <f>Raw_Data!H40</f>
        <v>0</v>
      </c>
      <c r="I50" s="2">
        <f>Raw_Data!I40</f>
        <v>10</v>
      </c>
      <c r="J50" s="2">
        <f>Raw_Data!J40</f>
        <v>4.5999999999999996</v>
      </c>
    </row>
    <row r="51" spans="1:10" x14ac:dyDescent="0.25">
      <c r="A51" s="2" t="str">
        <f>Raw_Data!A41</f>
        <v>L7039</v>
      </c>
      <c r="B51" s="2">
        <f>Raw_Data!B41</f>
        <v>40</v>
      </c>
      <c r="C51" s="3" t="str">
        <f>Raw_Data!C41</f>
        <v>Networking</v>
      </c>
      <c r="D51" s="3" t="str">
        <f>Raw_Data!D41</f>
        <v>Lab 1</v>
      </c>
      <c r="E51" s="2">
        <f>Raw_Data!E41</f>
        <v>33</v>
      </c>
      <c r="F51" s="2">
        <f>Raw_Data!F41</f>
        <v>33</v>
      </c>
      <c r="G51" s="2">
        <f>Raw_Data!G41</f>
        <v>3</v>
      </c>
      <c r="H51" s="2">
        <f>Raw_Data!H41</f>
        <v>4</v>
      </c>
      <c r="I51" s="2">
        <f>Raw_Data!I41</f>
        <v>35</v>
      </c>
      <c r="J51" s="2">
        <f>Raw_Data!J41</f>
        <v>2.6</v>
      </c>
    </row>
    <row r="52" spans="1:10" x14ac:dyDescent="0.25">
      <c r="A52" s="2" t="str">
        <f>Raw_Data!A42</f>
        <v>L7040</v>
      </c>
      <c r="B52" s="2">
        <f>Raw_Data!B42</f>
        <v>41</v>
      </c>
      <c r="C52" s="3" t="str">
        <f>Raw_Data!C42</f>
        <v>Programming</v>
      </c>
      <c r="D52" s="3" t="str">
        <f>Raw_Data!D42</f>
        <v>Lab 1</v>
      </c>
      <c r="E52" s="2">
        <f>Raw_Data!E42</f>
        <v>20</v>
      </c>
      <c r="F52" s="2">
        <f>Raw_Data!F42</f>
        <v>20</v>
      </c>
      <c r="G52" s="2">
        <f>Raw_Data!G42</f>
        <v>2</v>
      </c>
      <c r="H52" s="2">
        <f>Raw_Data!H42</f>
        <v>0</v>
      </c>
      <c r="I52" s="2">
        <f>Raw_Data!I42</f>
        <v>33</v>
      </c>
      <c r="J52" s="2">
        <f>Raw_Data!J42</f>
        <v>3.6</v>
      </c>
    </row>
    <row r="53" spans="1:10" x14ac:dyDescent="0.25">
      <c r="A53" s="2" t="str">
        <f>Raw_Data!A43</f>
        <v>L7041</v>
      </c>
      <c r="B53" s="2">
        <f>Raw_Data!B43</f>
        <v>42</v>
      </c>
      <c r="C53" s="3" t="str">
        <f>Raw_Data!C43</f>
        <v>Networking</v>
      </c>
      <c r="D53" s="3" t="str">
        <f>Raw_Data!D43</f>
        <v>Lab 2</v>
      </c>
      <c r="E53" s="2">
        <f>Raw_Data!E43</f>
        <v>19</v>
      </c>
      <c r="F53" s="2">
        <f>Raw_Data!F43</f>
        <v>19</v>
      </c>
      <c r="G53" s="2">
        <f>Raw_Data!G43</f>
        <v>4</v>
      </c>
      <c r="H53" s="2">
        <f>Raw_Data!H43</f>
        <v>0</v>
      </c>
      <c r="I53" s="2">
        <f>Raw_Data!I43</f>
        <v>14</v>
      </c>
      <c r="J53" s="2">
        <f>Raw_Data!J43</f>
        <v>4.0999999999999996</v>
      </c>
    </row>
    <row r="54" spans="1:10" x14ac:dyDescent="0.25">
      <c r="A54" s="2" t="str">
        <f>Raw_Data!A44</f>
        <v>L7042</v>
      </c>
      <c r="B54" s="2">
        <f>Raw_Data!B44</f>
        <v>43</v>
      </c>
      <c r="C54" s="3" t="str">
        <f>Raw_Data!C44</f>
        <v>Networking</v>
      </c>
      <c r="D54" s="3" t="str">
        <f>Raw_Data!D44</f>
        <v>Lab 1</v>
      </c>
      <c r="E54" s="2">
        <f>Raw_Data!E44</f>
        <v>32</v>
      </c>
      <c r="F54" s="2">
        <f>Raw_Data!F44</f>
        <v>19</v>
      </c>
      <c r="G54" s="2">
        <f>Raw_Data!G44</f>
        <v>2</v>
      </c>
      <c r="H54" s="2">
        <f>Raw_Data!H44</f>
        <v>1</v>
      </c>
      <c r="I54" s="2">
        <f>Raw_Data!I44</f>
        <v>44</v>
      </c>
      <c r="J54" s="2">
        <f>Raw_Data!J44</f>
        <v>3.4</v>
      </c>
    </row>
    <row r="55" spans="1:10" x14ac:dyDescent="0.25">
      <c r="A55" s="2" t="str">
        <f>Raw_Data!A45</f>
        <v>L7043</v>
      </c>
      <c r="B55" s="2">
        <f>Raw_Data!B45</f>
        <v>44</v>
      </c>
      <c r="C55" s="3" t="str">
        <f>Raw_Data!C45</f>
        <v>Programming</v>
      </c>
      <c r="D55" s="3" t="str">
        <f>Raw_Data!D45</f>
        <v>Lab 2</v>
      </c>
      <c r="E55" s="2">
        <f>Raw_Data!E45</f>
        <v>19</v>
      </c>
      <c r="F55" s="2">
        <f>Raw_Data!F45</f>
        <v>19</v>
      </c>
      <c r="G55" s="2">
        <f>Raw_Data!G45</f>
        <v>1</v>
      </c>
      <c r="H55" s="2">
        <f>Raw_Data!H45</f>
        <v>0</v>
      </c>
      <c r="I55" s="2">
        <f>Raw_Data!I45</f>
        <v>18</v>
      </c>
      <c r="J55" s="2">
        <f>Raw_Data!J45</f>
        <v>4.4000000000000004</v>
      </c>
    </row>
    <row r="56" spans="1:10" x14ac:dyDescent="0.25">
      <c r="A56" s="2" t="str">
        <f>Raw_Data!A46</f>
        <v>L7044</v>
      </c>
      <c r="B56" s="2">
        <f>Raw_Data!B46</f>
        <v>45</v>
      </c>
      <c r="C56" s="3" t="str">
        <f>Raw_Data!C46</f>
        <v>Networking</v>
      </c>
      <c r="D56" s="3" t="str">
        <f>Raw_Data!D46</f>
        <v>Lab 1</v>
      </c>
      <c r="E56" s="2">
        <f>Raw_Data!E46</f>
        <v>21</v>
      </c>
      <c r="F56" s="2">
        <f>Raw_Data!F46</f>
        <v>21</v>
      </c>
      <c r="G56" s="2">
        <f>Raw_Data!G46</f>
        <v>4</v>
      </c>
      <c r="H56" s="2">
        <f>Raw_Data!H46</f>
        <v>2</v>
      </c>
      <c r="I56" s="2">
        <f>Raw_Data!I46</f>
        <v>17</v>
      </c>
      <c r="J56" s="2">
        <f>Raw_Data!J46</f>
        <v>3.5</v>
      </c>
    </row>
    <row r="57" spans="1:10" x14ac:dyDescent="0.25">
      <c r="A57" s="2" t="str">
        <f>Raw_Data!A47</f>
        <v>L7045</v>
      </c>
      <c r="B57" s="2">
        <f>Raw_Data!B47</f>
        <v>46</v>
      </c>
      <c r="C57" s="3" t="str">
        <f>Raw_Data!C47</f>
        <v>DBMS</v>
      </c>
      <c r="D57" s="3" t="str">
        <f>Raw_Data!D47</f>
        <v>Lab 3</v>
      </c>
      <c r="E57" s="2">
        <f>Raw_Data!E47</f>
        <v>26</v>
      </c>
      <c r="F57" s="2">
        <f>Raw_Data!F47</f>
        <v>26</v>
      </c>
      <c r="G57" s="2">
        <f>Raw_Data!G47</f>
        <v>4</v>
      </c>
      <c r="H57" s="2">
        <f>Raw_Data!H47</f>
        <v>1</v>
      </c>
      <c r="I57" s="2">
        <f>Raw_Data!I47</f>
        <v>59</v>
      </c>
      <c r="J57" s="2">
        <f>Raw_Data!J47</f>
        <v>2.6</v>
      </c>
    </row>
    <row r="58" spans="1:10" x14ac:dyDescent="0.25">
      <c r="A58" s="2" t="str">
        <f>Raw_Data!A48</f>
        <v>L7046</v>
      </c>
      <c r="B58" s="2">
        <f>Raw_Data!B48</f>
        <v>47</v>
      </c>
      <c r="C58" s="3" t="str">
        <f>Raw_Data!C48</f>
        <v>DBMS</v>
      </c>
      <c r="D58" s="3" t="str">
        <f>Raw_Data!D48</f>
        <v>Lab 2</v>
      </c>
      <c r="E58" s="2">
        <f>Raw_Data!E48</f>
        <v>29</v>
      </c>
      <c r="F58" s="2">
        <f>Raw_Data!F48</f>
        <v>27</v>
      </c>
      <c r="G58" s="2">
        <f>Raw_Data!G48</f>
        <v>4</v>
      </c>
      <c r="H58" s="2">
        <f>Raw_Data!H48</f>
        <v>4</v>
      </c>
      <c r="I58" s="2">
        <f>Raw_Data!I48</f>
        <v>1</v>
      </c>
      <c r="J58" s="2">
        <f>Raw_Data!J48</f>
        <v>4.5999999999999996</v>
      </c>
    </row>
    <row r="59" spans="1:10" x14ac:dyDescent="0.25">
      <c r="A59" s="2" t="str">
        <f>Raw_Data!A49</f>
        <v>L7047</v>
      </c>
      <c r="B59" s="2">
        <f>Raw_Data!B49</f>
        <v>48</v>
      </c>
      <c r="C59" s="3" t="str">
        <f>Raw_Data!C49</f>
        <v>Networking</v>
      </c>
      <c r="D59" s="3" t="str">
        <f>Raw_Data!D49</f>
        <v>Lab 2</v>
      </c>
      <c r="E59" s="2">
        <f>Raw_Data!E49</f>
        <v>37</v>
      </c>
      <c r="F59" s="2">
        <f>Raw_Data!F49</f>
        <v>29</v>
      </c>
      <c r="G59" s="2">
        <f>Raw_Data!G49</f>
        <v>2</v>
      </c>
      <c r="H59" s="2">
        <f>Raw_Data!H49</f>
        <v>2</v>
      </c>
      <c r="I59" s="2">
        <f>Raw_Data!I49</f>
        <v>21</v>
      </c>
      <c r="J59" s="2">
        <f>Raw_Data!J49</f>
        <v>3.9</v>
      </c>
    </row>
    <row r="60" spans="1:10" x14ac:dyDescent="0.25">
      <c r="A60" s="2" t="str">
        <f>Raw_Data!A50</f>
        <v>L7048</v>
      </c>
      <c r="B60" s="2">
        <f>Raw_Data!B50</f>
        <v>49</v>
      </c>
      <c r="C60" s="3" t="str">
        <f>Raw_Data!C50</f>
        <v>Networking</v>
      </c>
      <c r="D60" s="3" t="str">
        <f>Raw_Data!D50</f>
        <v>Lab 3</v>
      </c>
      <c r="E60" s="2">
        <f>Raw_Data!E50</f>
        <v>19</v>
      </c>
      <c r="F60" s="2">
        <f>Raw_Data!F50</f>
        <v>18</v>
      </c>
      <c r="G60" s="2">
        <f>Raw_Data!G50</f>
        <v>3</v>
      </c>
      <c r="H60" s="2">
        <f>Raw_Data!H50</f>
        <v>4</v>
      </c>
      <c r="I60" s="2">
        <f>Raw_Data!I50</f>
        <v>34</v>
      </c>
      <c r="J60" s="2">
        <f>Raw_Data!J50</f>
        <v>3.2</v>
      </c>
    </row>
    <row r="61" spans="1:10" x14ac:dyDescent="0.25">
      <c r="A61" s="2" t="str">
        <f>Raw_Data!A51</f>
        <v>L7049</v>
      </c>
      <c r="B61" s="2">
        <f>Raw_Data!B51</f>
        <v>50</v>
      </c>
      <c r="C61" s="3" t="str">
        <f>Raw_Data!C51</f>
        <v>Web Development</v>
      </c>
      <c r="D61" s="3" t="str">
        <f>Raw_Data!D51</f>
        <v>Lab 3</v>
      </c>
      <c r="E61" s="2">
        <f>Raw_Data!E51</f>
        <v>28</v>
      </c>
      <c r="F61" s="2">
        <f>Raw_Data!F51</f>
        <v>28</v>
      </c>
      <c r="G61" s="2">
        <f>Raw_Data!G51</f>
        <v>1</v>
      </c>
      <c r="H61" s="2">
        <f>Raw_Data!H51</f>
        <v>4</v>
      </c>
      <c r="I61" s="2">
        <f>Raw_Data!I51</f>
        <v>30</v>
      </c>
      <c r="J61" s="2">
        <f>Raw_Data!J51</f>
        <v>2.1</v>
      </c>
    </row>
  </sheetData>
  <mergeCells count="15">
    <mergeCell ref="A1:H1"/>
    <mergeCell ref="A3:D3"/>
    <mergeCell ref="E3:H3"/>
    <mergeCell ref="A4:D4"/>
    <mergeCell ref="E4:H4"/>
    <mergeCell ref="A8:D8"/>
    <mergeCell ref="E8:H8"/>
    <mergeCell ref="A9:D9"/>
    <mergeCell ref="E9:H9"/>
    <mergeCell ref="A5:D5"/>
    <mergeCell ref="E5:H5"/>
    <mergeCell ref="A6:D6"/>
    <mergeCell ref="E6:H6"/>
    <mergeCell ref="A7:D7"/>
    <mergeCell ref="E7:H7"/>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1"/>
  <sheetViews>
    <sheetView showGridLines="0" zoomScaleNormal="100" workbookViewId="0">
      <selection activeCell="F3" sqref="F3"/>
    </sheetView>
  </sheetViews>
  <sheetFormatPr defaultColWidth="8.7109375" defaultRowHeight="15" x14ac:dyDescent="0.25"/>
  <cols>
    <col min="1" max="1" width="26" customWidth="1"/>
    <col min="2" max="5" width="11" customWidth="1"/>
    <col min="6" max="6" width="15" customWidth="1"/>
    <col min="7" max="7" width="12" customWidth="1"/>
  </cols>
  <sheetData>
    <row r="1" spans="1:7" ht="18" x14ac:dyDescent="0.25">
      <c r="A1" s="19" t="s">
        <v>107</v>
      </c>
      <c r="B1" s="19"/>
      <c r="C1" s="19"/>
      <c r="D1" s="19"/>
      <c r="E1" s="19"/>
      <c r="F1" s="19"/>
      <c r="G1" s="19"/>
    </row>
    <row r="3" spans="1:7" ht="30" x14ac:dyDescent="0.25">
      <c r="A3" s="1" t="s">
        <v>68</v>
      </c>
      <c r="B3" s="1" t="s">
        <v>108</v>
      </c>
      <c r="C3" s="1" t="s">
        <v>109</v>
      </c>
      <c r="D3" s="1" t="s">
        <v>110</v>
      </c>
      <c r="E3" s="1" t="s">
        <v>111</v>
      </c>
      <c r="F3" s="1" t="s">
        <v>112</v>
      </c>
      <c r="G3" s="1" t="s">
        <v>113</v>
      </c>
    </row>
    <row r="4" spans="1:7" x14ac:dyDescent="0.25">
      <c r="A4" s="3" t="s">
        <v>4</v>
      </c>
      <c r="B4" s="7">
        <f>AVERAGE(Cleaned_Data!E12:E61)</f>
        <v>28</v>
      </c>
      <c r="C4" s="7">
        <f>Raw_Data!E54</f>
        <v>0</v>
      </c>
      <c r="D4" s="7" t="b">
        <f>Raw_Data!E55=MIN(Cleaned_Data!E12:E61)</f>
        <v>0</v>
      </c>
      <c r="E4" s="7">
        <f>MAX(Cleaned_Data!E12:E61)</f>
        <v>40</v>
      </c>
      <c r="F4" s="7">
        <f>STDEV(Cleaned_Data!E12:E61)</f>
        <v>7.5511858779442917</v>
      </c>
      <c r="G4" s="7">
        <f>SUM(Cleaned_Data!E12:E61)</f>
        <v>1400</v>
      </c>
    </row>
    <row r="5" spans="1:7" x14ac:dyDescent="0.25">
      <c r="A5" s="3" t="s">
        <v>5</v>
      </c>
      <c r="B5" s="7">
        <f>AVERAGE(Cleaned_Data!F12:F61)</f>
        <v>24</v>
      </c>
      <c r="C5" s="7">
        <f>MEDIAN(Cleaned_Data!F12:F61)</f>
        <v>23.5</v>
      </c>
      <c r="D5" s="7">
        <f>MIN(Cleaned_Data!F12:F61)</f>
        <v>15</v>
      </c>
      <c r="E5" s="7">
        <f>MAX(Cleaned_Data!F12:F61)</f>
        <v>39</v>
      </c>
      <c r="F5" s="7">
        <f>STDEV(Cleaned_Data!F12:F61)</f>
        <v>5.9350223079545676</v>
      </c>
      <c r="G5" s="7">
        <f>SUM(Cleaned_Data!F12:F61)</f>
        <v>1200</v>
      </c>
    </row>
    <row r="6" spans="1:7" x14ac:dyDescent="0.25">
      <c r="A6" s="3" t="s">
        <v>6</v>
      </c>
      <c r="B6" s="7">
        <f>AVERAGE(Cleaned_Data!G12:G61)</f>
        <v>2.5</v>
      </c>
      <c r="C6" s="7">
        <f>MEDIAN(Cleaned_Data!G12:G61)</f>
        <v>2</v>
      </c>
      <c r="D6" s="7">
        <f>MIN(Cleaned_Data!G12:G61)</f>
        <v>1</v>
      </c>
      <c r="E6" s="7">
        <f>MAX(Cleaned_Data!G12:G61)</f>
        <v>4</v>
      </c>
      <c r="F6" s="7">
        <f>STDEV(Cleaned_Data!G12:G61)</f>
        <v>1.1473127431577865</v>
      </c>
      <c r="G6" s="7">
        <f>SUM(Cleaned_Data!G12:G61)</f>
        <v>125</v>
      </c>
    </row>
    <row r="7" spans="1:7" x14ac:dyDescent="0.25">
      <c r="A7" s="3" t="s">
        <v>7</v>
      </c>
      <c r="B7" s="7">
        <f>AVERAGE(Cleaned_Data!H12:H61)</f>
        <v>2.1800000000000002</v>
      </c>
      <c r="C7" s="7">
        <f>MEDIAN(Cleaned_Data!H12:H61)</f>
        <v>2.5</v>
      </c>
      <c r="D7" s="7">
        <f>MIN(Cleaned_Data!H12:H61)</f>
        <v>0</v>
      </c>
      <c r="E7" s="7">
        <f>MAX(Cleaned_Data!H12:H61)</f>
        <v>4</v>
      </c>
      <c r="F7" s="7">
        <f>STDEV(Cleaned_Data!H12:H61)</f>
        <v>1.5477435847328307</v>
      </c>
      <c r="G7" s="7">
        <f>SUM(Cleaned_Data!H12:H61)</f>
        <v>109</v>
      </c>
    </row>
    <row r="8" spans="1:7" x14ac:dyDescent="0.25">
      <c r="A8" s="3" t="s">
        <v>8</v>
      </c>
      <c r="B8" s="7">
        <f>AVERAGE(Cleaned_Data!I12:I61)</f>
        <v>27.56</v>
      </c>
      <c r="C8" s="7">
        <f>MEDIAN(Cleaned_Data!I12:I61)</f>
        <v>24</v>
      </c>
      <c r="D8" s="7">
        <f>MIN(Cleaned_Data!I12:I61)</f>
        <v>1</v>
      </c>
      <c r="E8" s="7">
        <f>MAX(Cleaned_Data!I12:I61)</f>
        <v>59</v>
      </c>
      <c r="F8" s="7">
        <f>STDEV(Cleaned_Data!I12:I61)</f>
        <v>18.379402846109876</v>
      </c>
      <c r="G8" s="7">
        <f>SUM(Cleaned_Data!I12:I61)</f>
        <v>1378</v>
      </c>
    </row>
    <row r="9" spans="1:7" x14ac:dyDescent="0.25">
      <c r="A9" s="3" t="s">
        <v>9</v>
      </c>
      <c r="B9" s="7">
        <f>AVERAGE(Cleaned_Data!J12:J61)</f>
        <v>3.4979999999999993</v>
      </c>
      <c r="C9" s="7">
        <f>MEDIAN(Cleaned_Data!J12:J61)</f>
        <v>3.5</v>
      </c>
      <c r="D9" s="7">
        <f>MIN(Cleaned_Data!J12:J61)</f>
        <v>1.7</v>
      </c>
      <c r="E9" s="7">
        <f>MAX(Cleaned_Data!J12:J61)</f>
        <v>5</v>
      </c>
      <c r="F9" s="7">
        <f>STDEV(Cleaned_Data!J12:J61)</f>
        <v>0.85224553327054375</v>
      </c>
      <c r="G9" s="7">
        <f>SUM(Cleaned_Data!J12:J61)</f>
        <v>174.89999999999998</v>
      </c>
    </row>
    <row r="11" spans="1:7" ht="22.35" customHeight="1" x14ac:dyDescent="0.25">
      <c r="A11" s="23"/>
      <c r="B11" s="23"/>
      <c r="C11" s="23"/>
      <c r="D11" s="23"/>
      <c r="E11" s="23"/>
      <c r="F11" s="23"/>
      <c r="G11" s="23"/>
    </row>
  </sheetData>
  <mergeCells count="2">
    <mergeCell ref="A1:G1"/>
    <mergeCell ref="A11:G1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1"/>
  <sheetViews>
    <sheetView showGridLines="0" zoomScaleNormal="100" workbookViewId="0">
      <selection activeCell="C4" sqref="C4"/>
    </sheetView>
  </sheetViews>
  <sheetFormatPr defaultColWidth="8.7109375" defaultRowHeight="15" x14ac:dyDescent="0.25"/>
  <cols>
    <col min="1" max="1" width="18" customWidth="1"/>
    <col min="2" max="2" width="16" customWidth="1"/>
    <col min="3" max="3" width="18" customWidth="1"/>
    <col min="4" max="4" width="16" customWidth="1"/>
    <col min="5" max="6" width="13" customWidth="1"/>
    <col min="7" max="7" width="22" customWidth="1"/>
    <col min="8" max="8" width="18" customWidth="1"/>
  </cols>
  <sheetData>
    <row r="1" spans="1:8" ht="18" x14ac:dyDescent="0.25">
      <c r="A1" s="19" t="s">
        <v>114</v>
      </c>
      <c r="B1" s="19"/>
      <c r="C1" s="19"/>
      <c r="D1" s="19"/>
      <c r="E1" s="19"/>
      <c r="F1" s="19"/>
      <c r="G1" s="19"/>
      <c r="H1" s="19"/>
    </row>
    <row r="3" spans="1:8" ht="45" x14ac:dyDescent="0.25">
      <c r="A3" s="1" t="s">
        <v>2</v>
      </c>
      <c r="B3" s="1" t="s">
        <v>115</v>
      </c>
      <c r="C3" s="1" t="s">
        <v>116</v>
      </c>
      <c r="D3" s="1" t="s">
        <v>117</v>
      </c>
      <c r="E3" s="1" t="s">
        <v>118</v>
      </c>
      <c r="F3" s="1" t="s">
        <v>119</v>
      </c>
      <c r="G3" s="1" t="s">
        <v>120</v>
      </c>
      <c r="H3" s="1" t="s">
        <v>121</v>
      </c>
    </row>
    <row r="4" spans="1:8" x14ac:dyDescent="0.25">
      <c r="A4" s="3" t="s">
        <v>22</v>
      </c>
      <c r="B4" s="7">
        <f>COUNTIF(Cleaned_Data!C12:C61,A4)</f>
        <v>12</v>
      </c>
      <c r="C4" s="7">
        <f>AVERAGEIF(Cleaned_Data!C12:C61,A4,Cleaned_Data!E12:E61)</f>
        <v>31.5</v>
      </c>
      <c r="D4" s="7">
        <f>AVERAGEIF(Cleaned_Data!C12:C61,A4,Cleaned_Data!F12:F61)</f>
        <v>25.916666666666668</v>
      </c>
      <c r="E4" s="7">
        <f>AVERAGEIF(Cleaned_Data!C12:C61,A4,Cleaned_Data!G12:G61)</f>
        <v>2.3333333333333335</v>
      </c>
      <c r="F4" s="7">
        <f>SUMIF(Cleaned_Data!C12:C61,A4,Cleaned_Data!G12:G61)</f>
        <v>28</v>
      </c>
      <c r="G4" s="7">
        <f>AVERAGEIF(Cleaned_Data!C12:C61,A4,Cleaned_Data!I12:I61)</f>
        <v>22.916666666666668</v>
      </c>
      <c r="H4" s="7">
        <f>AVERAGEIF(Cleaned_Data!C12:C61,A4,Cleaned_Data!J12:J61)</f>
        <v>3.6166666666666671</v>
      </c>
    </row>
    <row r="5" spans="1:8" x14ac:dyDescent="0.25">
      <c r="A5" s="3" t="s">
        <v>18</v>
      </c>
      <c r="B5" s="7">
        <f>COUNTIF(Cleaned_Data!C12:C61,A5)</f>
        <v>17</v>
      </c>
      <c r="C5" s="7">
        <f>AVERAGEIF(Cleaned_Data!C12:C61,A5,Cleaned_Data!E12:E61)</f>
        <v>28.058823529411764</v>
      </c>
      <c r="D5" s="7">
        <f>AVERAGEIF(Cleaned_Data!C12:C61,A5,Cleaned_Data!F12:F61)</f>
        <v>23.058823529411764</v>
      </c>
      <c r="E5" s="7">
        <f>AVERAGEIF(Cleaned_Data!C12:C61,A5,Cleaned_Data!G12:G61)</f>
        <v>2.7058823529411766</v>
      </c>
      <c r="F5" s="7">
        <f>SUMIF(Cleaned_Data!C12:C61,A5,Cleaned_Data!G12:G61)</f>
        <v>46</v>
      </c>
      <c r="G5" s="7">
        <f>AVERAGEIF(Cleaned_Data!C12:C61,A5,Cleaned_Data!I12:I61)</f>
        <v>27.941176470588236</v>
      </c>
      <c r="H5" s="7">
        <f>AVERAGEIF(Cleaned_Data!C12:C61,A5,Cleaned_Data!J12:J61)</f>
        <v>3.4823529411764707</v>
      </c>
    </row>
    <row r="6" spans="1:8" x14ac:dyDescent="0.25">
      <c r="A6" s="3" t="s">
        <v>11</v>
      </c>
      <c r="B6" s="7">
        <f>COUNTIF(Cleaned_Data!C12:C61,A6)</f>
        <v>9</v>
      </c>
      <c r="C6" s="7">
        <f>AVERAGEIF(Cleaned_Data!C12:C61,A6,Cleaned_Data!E12:E61)</f>
        <v>24.555555555555557</v>
      </c>
      <c r="D6" s="7">
        <f>AVERAGEIF(Cleaned_Data!C12:C61,A6,Cleaned_Data!F12:F61)</f>
        <v>23.666666666666668</v>
      </c>
      <c r="E6" s="7">
        <f>AVERAGEIF(Cleaned_Data!C12:C61,A6,Cleaned_Data!G12:G61)</f>
        <v>3</v>
      </c>
      <c r="F6" s="7">
        <f>SUMIF(Cleaned_Data!C12:C61,A6,Cleaned_Data!G12:G61)</f>
        <v>27</v>
      </c>
      <c r="G6" s="7">
        <f>AVERAGEIF(Cleaned_Data!C12:C61,A6,Cleaned_Data!I12:I61)</f>
        <v>28.111111111111111</v>
      </c>
      <c r="H6" s="7">
        <f>AVERAGEIF(Cleaned_Data!C12:C61,A6,Cleaned_Data!J12:J61)</f>
        <v>3.677777777777778</v>
      </c>
    </row>
    <row r="7" spans="1:8" x14ac:dyDescent="0.25">
      <c r="A7" s="3" t="s">
        <v>14</v>
      </c>
      <c r="B7" s="7">
        <f>COUNTIF(Cleaned_Data!C12:C61,A7)</f>
        <v>12</v>
      </c>
      <c r="C7" s="7">
        <f>AVERAGEIF(Cleaned_Data!C12:C61,A7,Cleaned_Data!E12:E61)</f>
        <v>27</v>
      </c>
      <c r="D7" s="7">
        <f>AVERAGEIF(Cleaned_Data!C12:C61,A7,Cleaned_Data!F12:F61)</f>
        <v>23.666666666666668</v>
      </c>
      <c r="E7" s="7">
        <f>AVERAGEIF(Cleaned_Data!C12:C61,A7,Cleaned_Data!G12:G61)</f>
        <v>2</v>
      </c>
      <c r="F7" s="7">
        <f>SUMIF(Cleaned_Data!C12:C61,A7,Cleaned_Data!G12:G61)</f>
        <v>24</v>
      </c>
      <c r="G7" s="7">
        <f>AVERAGEIF(Cleaned_Data!C12:C61,A7,Cleaned_Data!I12:I61)</f>
        <v>31.25</v>
      </c>
      <c r="H7" s="7">
        <f>AVERAGEIF(Cleaned_Data!C12:C61,A7,Cleaned_Data!J12:J61)</f>
        <v>3.2666666666666662</v>
      </c>
    </row>
    <row r="8" spans="1:8" x14ac:dyDescent="0.25">
      <c r="A8" s="8" t="s">
        <v>122</v>
      </c>
      <c r="B8" s="9">
        <f>SUM(B4:B7)</f>
        <v>50</v>
      </c>
      <c r="C8" s="9">
        <f>AVERAGE(Cleaned_Data!E12:E61)</f>
        <v>28</v>
      </c>
      <c r="D8" s="9">
        <f>AVERAGE(Cleaned_Data!F12:F61)</f>
        <v>24</v>
      </c>
      <c r="E8" s="9">
        <f>AVERAGE(Cleaned_Data!G12:G61)</f>
        <v>2.5</v>
      </c>
      <c r="F8" s="9">
        <f>SUM(Cleaned_Data!G12:G61)</f>
        <v>125</v>
      </c>
      <c r="G8" s="9">
        <f>AVERAGE(Cleaned_Data!I12:I61)</f>
        <v>27.56</v>
      </c>
      <c r="H8" s="9">
        <f>AVERAGE(Cleaned_Data!J12:J61)</f>
        <v>3.4979999999999993</v>
      </c>
    </row>
    <row r="10" spans="1:8" x14ac:dyDescent="0.25">
      <c r="A10" s="10" t="s">
        <v>123</v>
      </c>
    </row>
    <row r="11" spans="1:8" ht="48" customHeight="1" x14ac:dyDescent="0.25">
      <c r="A11" s="24" t="s">
        <v>124</v>
      </c>
      <c r="B11" s="25"/>
      <c r="C11" s="25"/>
      <c r="D11" s="25"/>
      <c r="E11" s="25"/>
      <c r="F11" s="25"/>
      <c r="G11" s="25"/>
      <c r="H11" s="25"/>
    </row>
  </sheetData>
  <mergeCells count="2">
    <mergeCell ref="A1:H1"/>
    <mergeCell ref="A11:H1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9"/>
  <sheetViews>
    <sheetView showGridLines="0" zoomScale="90" zoomScaleNormal="90" workbookViewId="0">
      <selection activeCell="A3" sqref="A3"/>
    </sheetView>
  </sheetViews>
  <sheetFormatPr defaultColWidth="8.7109375" defaultRowHeight="15" x14ac:dyDescent="0.25"/>
  <cols>
    <col min="1" max="1" width="12" customWidth="1"/>
    <col min="2" max="2" width="16" customWidth="1"/>
    <col min="3" max="3" width="18" customWidth="1"/>
    <col min="4" max="6" width="16" customWidth="1"/>
    <col min="7" max="7" width="20" customWidth="1"/>
    <col min="8" max="8" width="16" customWidth="1"/>
    <col min="9" max="9" width="35" bestFit="1" customWidth="1"/>
  </cols>
  <sheetData>
    <row r="1" spans="1:9" ht="18" x14ac:dyDescent="0.25">
      <c r="A1" s="19" t="s">
        <v>125</v>
      </c>
      <c r="B1" s="19"/>
      <c r="C1" s="19"/>
      <c r="D1" s="19"/>
      <c r="E1" s="19"/>
      <c r="F1" s="19"/>
      <c r="G1" s="19"/>
      <c r="H1" s="19"/>
      <c r="I1" s="19"/>
    </row>
    <row r="3" spans="1:9" ht="45" x14ac:dyDescent="0.25">
      <c r="A3" s="1" t="s">
        <v>126</v>
      </c>
      <c r="B3" s="1" t="s">
        <v>115</v>
      </c>
      <c r="C3" s="1" t="s">
        <v>116</v>
      </c>
      <c r="D3" s="1" t="s">
        <v>117</v>
      </c>
      <c r="E3" s="1" t="s">
        <v>127</v>
      </c>
      <c r="F3" s="1" t="s">
        <v>128</v>
      </c>
      <c r="G3" s="1" t="s">
        <v>120</v>
      </c>
      <c r="H3" s="1" t="s">
        <v>121</v>
      </c>
      <c r="I3" s="1" t="s">
        <v>129</v>
      </c>
    </row>
    <row r="4" spans="1:9" x14ac:dyDescent="0.25">
      <c r="A4" s="3" t="s">
        <v>20</v>
      </c>
      <c r="B4" s="7">
        <f>COUNTIF(Cleaned_Data!D12:D61,A4)</f>
        <v>20</v>
      </c>
      <c r="C4" s="7">
        <f>AVERAGEIF(Cleaned_Data!D12:D61,A4,Cleaned_Data!E12:E61)</f>
        <v>28.75</v>
      </c>
      <c r="D4" s="7">
        <f>AVERAGEIF(Cleaned_Data!D12:D61,A4,Cleaned_Data!F12:F61)</f>
        <v>25.75</v>
      </c>
      <c r="E4" s="7">
        <f>SUMIF(Cleaned_Data!D12:D61,A4,Cleaned_Data!F12:F61)</f>
        <v>515</v>
      </c>
      <c r="F4" s="7">
        <f>SUMIF(Cleaned_Data!D12:D61,A4,Cleaned_Data!H12:H61)</f>
        <v>37</v>
      </c>
      <c r="G4" s="7">
        <f>AVERAGEIF(Cleaned_Data!D12:D61,A4,Cleaned_Data!I12:I61)</f>
        <v>29.7</v>
      </c>
      <c r="H4" s="7">
        <f>AVERAGEIF(Cleaned_Data!D12:D61,A4,Cleaned_Data!J12:J61)</f>
        <v>3.5450000000000004</v>
      </c>
      <c r="I4" s="2" t="str">
        <f>IF(E4=MAX($E$4:$E$6),"✓ YES — Highest total computers used","")</f>
        <v>✓ YES — Highest total computers used</v>
      </c>
    </row>
    <row r="5" spans="1:9" x14ac:dyDescent="0.25">
      <c r="A5" s="3" t="s">
        <v>15</v>
      </c>
      <c r="B5" s="7">
        <f>COUNTIF(Cleaned_Data!D12:D61,A5)</f>
        <v>15</v>
      </c>
      <c r="C5" s="7">
        <f>AVERAGEIF(Cleaned_Data!D12:D61,A5,Cleaned_Data!E12:E61)</f>
        <v>29.266666666666666</v>
      </c>
      <c r="D5" s="7">
        <f>AVERAGEIF(Cleaned_Data!D12:D61,A5,Cleaned_Data!F12:F61)</f>
        <v>23.6</v>
      </c>
      <c r="E5" s="7">
        <f>SUMIF(Cleaned_Data!D12:D61,A5,Cleaned_Data!F12:F61)</f>
        <v>354</v>
      </c>
      <c r="F5" s="7">
        <f>SUMIF(Cleaned_Data!D12:D61,A5,Cleaned_Data!H12:H61)</f>
        <v>32</v>
      </c>
      <c r="G5" s="7">
        <f>AVERAGEIF(Cleaned_Data!D12:D61,A5,Cleaned_Data!I12:I61)</f>
        <v>22.333333333333332</v>
      </c>
      <c r="H5" s="7">
        <f>AVERAGEIF(Cleaned_Data!D12:D61,A5,Cleaned_Data!J12:J61)</f>
        <v>3.7133333333333329</v>
      </c>
      <c r="I5" s="2" t="str">
        <f>IF(E5=MAX($E$4:$E$6),"✓ YES — Highest total computers used","")</f>
        <v/>
      </c>
    </row>
    <row r="6" spans="1:9" x14ac:dyDescent="0.25">
      <c r="A6" s="3" t="s">
        <v>12</v>
      </c>
      <c r="B6" s="7">
        <f>COUNTIF(Cleaned_Data!D12:D61,A6)</f>
        <v>15</v>
      </c>
      <c r="C6" s="7">
        <f>AVERAGEIF(Cleaned_Data!D12:D61,A6,Cleaned_Data!E12:E61)</f>
        <v>25.733333333333334</v>
      </c>
      <c r="D6" s="7">
        <f>AVERAGEIF(Cleaned_Data!D12:D61,A6,Cleaned_Data!F12:F61)</f>
        <v>22.066666666666666</v>
      </c>
      <c r="E6" s="7">
        <f>SUMIF(Cleaned_Data!D12:D61,A6,Cleaned_Data!F12:F61)</f>
        <v>331</v>
      </c>
      <c r="F6" s="7">
        <f>SUMIF(Cleaned_Data!D12:D61,A6,Cleaned_Data!H12:H61)</f>
        <v>40</v>
      </c>
      <c r="G6" s="7">
        <f>AVERAGEIF(Cleaned_Data!D12:D61,A6,Cleaned_Data!I12:I61)</f>
        <v>29.933333333333334</v>
      </c>
      <c r="H6" s="7">
        <f>AVERAGEIF(Cleaned_Data!D12:D61,A6,Cleaned_Data!J12:J61)</f>
        <v>3.22</v>
      </c>
      <c r="I6" s="2" t="str">
        <f>IF(E6=MAX($E$4:$E$6),"✓ YES — Highest total computers used","")</f>
        <v/>
      </c>
    </row>
    <row r="8" spans="1:9" x14ac:dyDescent="0.25">
      <c r="A8" s="10" t="s">
        <v>123</v>
      </c>
    </row>
    <row r="9" spans="1:9" ht="60" customHeight="1" x14ac:dyDescent="0.25">
      <c r="A9" s="24" t="s">
        <v>130</v>
      </c>
      <c r="B9" s="25"/>
      <c r="C9" s="25"/>
      <c r="D9" s="25"/>
      <c r="E9" s="25"/>
      <c r="F9" s="25"/>
      <c r="G9" s="25"/>
      <c r="H9" s="25"/>
      <c r="I9" s="25"/>
    </row>
  </sheetData>
  <mergeCells count="2">
    <mergeCell ref="A1:I1"/>
    <mergeCell ref="A9:I9"/>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7"/>
  <sheetViews>
    <sheetView showGridLines="0" topLeftCell="A2" zoomScale="130" zoomScaleNormal="130" workbookViewId="0">
      <selection activeCell="F11" sqref="F11"/>
    </sheetView>
  </sheetViews>
  <sheetFormatPr defaultColWidth="8.7109375" defaultRowHeight="15" x14ac:dyDescent="0.25"/>
  <cols>
    <col min="1" max="1" width="26" customWidth="1"/>
    <col min="2" max="3" width="15" customWidth="1"/>
    <col min="4" max="4" width="13" customWidth="1"/>
    <col min="5" max="5" width="15" customWidth="1"/>
    <col min="6" max="6" width="22" customWidth="1"/>
    <col min="7" max="7" width="23.85546875" customWidth="1"/>
  </cols>
  <sheetData>
    <row r="1" spans="1:7" ht="18" x14ac:dyDescent="0.25">
      <c r="A1" s="19" t="s">
        <v>131</v>
      </c>
      <c r="B1" s="19"/>
      <c r="C1" s="19"/>
      <c r="D1" s="19"/>
      <c r="E1" s="19"/>
      <c r="F1" s="19"/>
    </row>
    <row r="3" spans="1:7" ht="15.75" x14ac:dyDescent="0.25">
      <c r="A3" s="18" t="s">
        <v>153</v>
      </c>
      <c r="C3" s="11">
        <f>CORREL(Cleaned_Data!I12:I61,Cleaned_Data!J12:J61)</f>
        <v>-0.79638376593544247</v>
      </c>
    </row>
    <row r="5" spans="1:7" x14ac:dyDescent="0.25">
      <c r="A5" s="10" t="s">
        <v>132</v>
      </c>
      <c r="C5" s="12" t="str">
        <f>IF(ABS(C3)&gt;=0.7,"Strong ",IF(ABS(C3)&gt;=0.4,"Moderate ","Weak "))&amp;IF(C3&lt;0,"Negative","Positive")&amp;" correlation"</f>
        <v>Strong Negative correlation</v>
      </c>
    </row>
    <row r="7" spans="1:7" x14ac:dyDescent="0.25">
      <c r="A7" s="10" t="s">
        <v>123</v>
      </c>
    </row>
    <row r="8" spans="1:7" ht="69.75" customHeight="1" x14ac:dyDescent="0.25">
      <c r="A8" s="24" t="s">
        <v>154</v>
      </c>
      <c r="B8" s="25"/>
      <c r="C8" s="25"/>
      <c r="D8" s="25"/>
      <c r="E8" s="25"/>
      <c r="F8" s="25"/>
    </row>
    <row r="10" spans="1:7" x14ac:dyDescent="0.25">
      <c r="A10" s="6" t="s">
        <v>133</v>
      </c>
    </row>
    <row r="11" spans="1:7" ht="30" x14ac:dyDescent="0.25">
      <c r="A11" s="1"/>
      <c r="B11" s="1" t="s">
        <v>4</v>
      </c>
      <c r="C11" s="1" t="s">
        <v>5</v>
      </c>
      <c r="D11" s="1" t="s">
        <v>6</v>
      </c>
      <c r="E11" s="1" t="s">
        <v>7</v>
      </c>
      <c r="F11" s="1" t="s">
        <v>8</v>
      </c>
      <c r="G11" s="1" t="s">
        <v>9</v>
      </c>
    </row>
    <row r="12" spans="1:7" x14ac:dyDescent="0.25">
      <c r="A12" s="3" t="s">
        <v>4</v>
      </c>
      <c r="B12" s="7">
        <f>CORREL(Cleaned_Data!E12:E61,Cleaned_Data!E12:E61)</f>
        <v>1.0000000000000002</v>
      </c>
      <c r="C12" s="7">
        <f>CORREL(Cleaned_Data!E12:E61,Cleaned_Data!F12:F61)</f>
        <v>0.58742998861817342</v>
      </c>
      <c r="D12" s="7">
        <f>CORREL(Cleaned_Data!E12:E61,Cleaned_Data!G12:G61)</f>
        <v>-0.18609471222816731</v>
      </c>
      <c r="E12" s="7">
        <f>CORREL(Cleaned_Data!E12:E61,Cleaned_Data!H12:H61)</f>
        <v>-0.13620227108348765</v>
      </c>
      <c r="F12" s="7">
        <f>CORREL(Cleaned_Data!E12:E61,Cleaned_Data!I12:I61)</f>
        <v>0.16542832965650694</v>
      </c>
      <c r="G12" s="7">
        <f>CORREL(Cleaned_Data!E12:E61,Cleaned_Data!J12:J61)</f>
        <v>-2.6955224366029946E-2</v>
      </c>
    </row>
    <row r="13" spans="1:7" x14ac:dyDescent="0.25">
      <c r="A13" s="3" t="s">
        <v>5</v>
      </c>
      <c r="B13" s="7">
        <f>CORREL(Cleaned_Data!F12:F61,Cleaned_Data!E12:E61)</f>
        <v>0.58742998861817342</v>
      </c>
      <c r="C13" s="7">
        <f>CORREL(Cleaned_Data!F12:F61,Cleaned_Data!F12:F61)</f>
        <v>1.0000000000000002</v>
      </c>
      <c r="D13" s="7">
        <f>CORREL(Cleaned_Data!F12:F61,Cleaned_Data!G12:G61)</f>
        <v>-5.3947615325218995E-2</v>
      </c>
      <c r="E13" s="7">
        <f>CORREL(Cleaned_Data!F12:F61,Cleaned_Data!H12:H61)</f>
        <v>-0.15773966001811177</v>
      </c>
      <c r="F13" s="7">
        <f>CORREL(Cleaned_Data!F12:F61,Cleaned_Data!I12:I61)</f>
        <v>8.9803115721573054E-2</v>
      </c>
      <c r="G13" s="7">
        <f>CORREL(Cleaned_Data!F12:F61,Cleaned_Data!J12:J61)</f>
        <v>2.2191135235692636E-2</v>
      </c>
    </row>
    <row r="14" spans="1:7" x14ac:dyDescent="0.25">
      <c r="A14" s="3" t="s">
        <v>6</v>
      </c>
      <c r="B14" s="7">
        <f>CORREL(Cleaned_Data!G12:G61,Cleaned_Data!E12:E61)</f>
        <v>-0.18609471222816731</v>
      </c>
      <c r="C14" s="7">
        <f>CORREL(Cleaned_Data!G12:G61,Cleaned_Data!F12:F61)</f>
        <v>-5.3947615325218995E-2</v>
      </c>
      <c r="D14" s="7">
        <f>CORREL(Cleaned_Data!G12:G61,Cleaned_Data!G12:G61)</f>
        <v>1.0000000000000002</v>
      </c>
      <c r="E14" s="7">
        <f>CORREL(Cleaned_Data!G12:G61,Cleaned_Data!H12:H61)</f>
        <v>0.12067363337942541</v>
      </c>
      <c r="F14" s="7">
        <f>CORREL(Cleaned_Data!G12:G61,Cleaned_Data!I12:I61)</f>
        <v>0.13259015336136812</v>
      </c>
      <c r="G14" s="7">
        <f>CORREL(Cleaned_Data!G12:G61,Cleaned_Data!J12:J61)</f>
        <v>-9.2878967727632294E-2</v>
      </c>
    </row>
    <row r="15" spans="1:7" x14ac:dyDescent="0.25">
      <c r="A15" s="3" t="s">
        <v>7</v>
      </c>
      <c r="B15" s="7">
        <f>CORREL(Cleaned_Data!H12:H61,Cleaned_Data!E12:E61)</f>
        <v>-0.13620227108348765</v>
      </c>
      <c r="C15" s="7">
        <f>CORREL(Cleaned_Data!H12:H61,Cleaned_Data!F12:F61)</f>
        <v>-0.15773966001811177</v>
      </c>
      <c r="D15" s="7">
        <f>CORREL(Cleaned_Data!H12:H61,Cleaned_Data!G12:G61)</f>
        <v>0.12067363337942541</v>
      </c>
      <c r="E15" s="7">
        <f>CORREL(Cleaned_Data!H12:H61,Cleaned_Data!H12:H61)</f>
        <v>1</v>
      </c>
      <c r="F15" s="7">
        <f>CORREL(Cleaned_Data!H12:H61,Cleaned_Data!I12:I61)</f>
        <v>0.14632499360587645</v>
      </c>
      <c r="G15" s="7">
        <f>CORREL(Cleaned_Data!H12:H61,Cleaned_Data!J12:J61)</f>
        <v>-0.58919617987869788</v>
      </c>
    </row>
    <row r="16" spans="1:7" x14ac:dyDescent="0.25">
      <c r="A16" s="3" t="s">
        <v>8</v>
      </c>
      <c r="B16" s="7">
        <f>CORREL(Cleaned_Data!I12:I61,Cleaned_Data!E12:E61)</f>
        <v>0.16542832965650694</v>
      </c>
      <c r="C16" s="7">
        <f>CORREL(Cleaned_Data!I12:I61,Cleaned_Data!F12:F61)</f>
        <v>8.9803115721573054E-2</v>
      </c>
      <c r="D16" s="7">
        <f>CORREL(Cleaned_Data!I12:I61,Cleaned_Data!G12:G61)</f>
        <v>0.13259015336136812</v>
      </c>
      <c r="E16" s="7">
        <f>CORREL(Cleaned_Data!I12:I61,Cleaned_Data!H12:H61)</f>
        <v>0.14632499360587645</v>
      </c>
      <c r="F16" s="7">
        <f>CORREL(Cleaned_Data!I12:I61,Cleaned_Data!I12:I61)</f>
        <v>0.99999999999999978</v>
      </c>
      <c r="G16" s="7">
        <f>CORREL(Cleaned_Data!I12:I61,Cleaned_Data!J12:J61)</f>
        <v>-0.79638376593544247</v>
      </c>
    </row>
    <row r="17" spans="1:7" x14ac:dyDescent="0.25">
      <c r="A17" s="3" t="s">
        <v>9</v>
      </c>
      <c r="B17" s="7">
        <f>CORREL(Cleaned_Data!J12:J61,Cleaned_Data!E12:E61)</f>
        <v>-2.6955224366029946E-2</v>
      </c>
      <c r="C17" s="7">
        <f>CORREL(Cleaned_Data!J12:J61,Cleaned_Data!F12:F61)</f>
        <v>2.2191135235692636E-2</v>
      </c>
      <c r="D17" s="7">
        <f>CORREL(Cleaned_Data!J12:J61,Cleaned_Data!G12:G61)</f>
        <v>-9.2878967727632294E-2</v>
      </c>
      <c r="E17" s="7">
        <f>CORREL(Cleaned_Data!J12:J61,Cleaned_Data!H12:H61)</f>
        <v>-0.58919617987869788</v>
      </c>
      <c r="F17" s="7">
        <f>CORREL(Cleaned_Data!J12:J61,Cleaned_Data!I12:I61)</f>
        <v>-0.79638376593544247</v>
      </c>
      <c r="G17" s="7">
        <f>CORREL(Cleaned_Data!J12:J61,Cleaned_Data!J12:J61)</f>
        <v>1</v>
      </c>
    </row>
  </sheetData>
  <mergeCells count="2">
    <mergeCell ref="A1:F1"/>
    <mergeCell ref="A8:F8"/>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7"/>
  <sheetViews>
    <sheetView showGridLines="0" zoomScaleNormal="100" workbookViewId="0">
      <selection activeCell="F18" sqref="F18"/>
    </sheetView>
  </sheetViews>
  <sheetFormatPr defaultColWidth="8.7109375" defaultRowHeight="15" x14ac:dyDescent="0.25"/>
  <cols>
    <col min="1" max="1" width="18" customWidth="1"/>
    <col min="2" max="2" width="11" customWidth="1"/>
    <col min="3" max="3" width="16" customWidth="1"/>
    <col min="4" max="4" width="18" customWidth="1"/>
    <col min="5" max="6" width="16" customWidth="1"/>
    <col min="7" max="7" width="20" customWidth="1"/>
    <col min="8" max="8" width="16" customWidth="1"/>
  </cols>
  <sheetData>
    <row r="1" spans="1:8" ht="18" x14ac:dyDescent="0.25">
      <c r="A1" s="19" t="s">
        <v>134</v>
      </c>
      <c r="B1" s="19"/>
      <c r="C1" s="19"/>
      <c r="D1" s="19"/>
      <c r="E1" s="19"/>
      <c r="F1" s="19"/>
      <c r="G1" s="19"/>
      <c r="H1" s="19"/>
    </row>
    <row r="2" spans="1:8" x14ac:dyDescent="0.25">
      <c r="A2" s="26"/>
      <c r="B2" s="26"/>
      <c r="C2" s="26"/>
      <c r="D2" s="26"/>
      <c r="E2" s="26"/>
      <c r="F2" s="26"/>
      <c r="G2" s="26"/>
      <c r="H2" s="26"/>
    </row>
    <row r="4" spans="1:8" ht="45" x14ac:dyDescent="0.25">
      <c r="A4" s="1" t="s">
        <v>2</v>
      </c>
      <c r="B4" s="1" t="s">
        <v>126</v>
      </c>
      <c r="C4" s="1" t="s">
        <v>115</v>
      </c>
      <c r="D4" s="1" t="s">
        <v>116</v>
      </c>
      <c r="E4" s="1" t="s">
        <v>117</v>
      </c>
      <c r="F4" s="1" t="s">
        <v>127</v>
      </c>
      <c r="G4" s="1" t="s">
        <v>120</v>
      </c>
      <c r="H4" s="1" t="s">
        <v>128</v>
      </c>
    </row>
    <row r="5" spans="1:8" x14ac:dyDescent="0.25">
      <c r="A5" s="3" t="s">
        <v>22</v>
      </c>
      <c r="B5" s="3" t="s">
        <v>20</v>
      </c>
      <c r="C5" s="2">
        <f>COUNTIFS(Cleaned_Data!C12:C61,A5,Cleaned_Data!D12:D61,B5)</f>
        <v>3</v>
      </c>
      <c r="D5" s="7">
        <f>IFERROR(AVERAGEIFS(Cleaned_Data!E12:E61,Cleaned_Data!C12:C61,A5,Cleaned_Data!D12:D61,B5),0)</f>
        <v>34.666666666666664</v>
      </c>
      <c r="E5" s="7">
        <f>IFERROR(AVERAGEIFS(Cleaned_Data!F12:F61,Cleaned_Data!C12:C61,A5,Cleaned_Data!D12:D61,B5),0)</f>
        <v>33.333333333333336</v>
      </c>
      <c r="F5" s="2">
        <f>SUMIFS(Cleaned_Data!F12:F61,Cleaned_Data!C12:C61,A5,Cleaned_Data!D12:D61,B5)</f>
        <v>100</v>
      </c>
      <c r="G5" s="7">
        <f>IFERROR(AVERAGEIFS(Cleaned_Data!I12:I61,Cleaned_Data!C12:C61,A5,Cleaned_Data!D12:D61,B5),0)</f>
        <v>22.666666666666668</v>
      </c>
      <c r="H5" s="2">
        <f>SUMIFS(Cleaned_Data!H12:H61,Cleaned_Data!C12:C61,A5,Cleaned_Data!D12:D61,B5)</f>
        <v>3</v>
      </c>
    </row>
    <row r="6" spans="1:8" x14ac:dyDescent="0.25">
      <c r="A6" s="3" t="s">
        <v>22</v>
      </c>
      <c r="B6" s="3" t="s">
        <v>15</v>
      </c>
      <c r="C6" s="2">
        <f>COUNTIFS(Cleaned_Data!C12:C61,A6,Cleaned_Data!D12:D61,B6)</f>
        <v>5</v>
      </c>
      <c r="D6" s="7">
        <f>IFERROR(AVERAGEIFS(Cleaned_Data!E12:E61,Cleaned_Data!C12:C61,A6,Cleaned_Data!D12:D61,B6),0)</f>
        <v>33.4</v>
      </c>
      <c r="E6" s="7">
        <f>IFERROR(AVERAGEIFS(Cleaned_Data!F12:F61,Cleaned_Data!C12:C61,A6,Cleaned_Data!D12:D61,B6),0)</f>
        <v>24.8</v>
      </c>
      <c r="F6" s="2">
        <f>SUMIFS(Cleaned_Data!F12:F61,Cleaned_Data!C12:C61,A6,Cleaned_Data!D12:D61,B6)</f>
        <v>124</v>
      </c>
      <c r="G6" s="7">
        <f>IFERROR(AVERAGEIFS(Cleaned_Data!I12:I61,Cleaned_Data!C12:C61,A6,Cleaned_Data!D12:D61,B6),0)</f>
        <v>19.399999999999999</v>
      </c>
      <c r="H6" s="2">
        <f>SUMIFS(Cleaned_Data!H12:H61,Cleaned_Data!C12:C61,A6,Cleaned_Data!D12:D61,B6)</f>
        <v>12</v>
      </c>
    </row>
    <row r="7" spans="1:8" x14ac:dyDescent="0.25">
      <c r="A7" s="3" t="s">
        <v>22</v>
      </c>
      <c r="B7" s="3" t="s">
        <v>12</v>
      </c>
      <c r="C7" s="2">
        <f>COUNTIFS(Cleaned_Data!C12:C61,A7,Cleaned_Data!D12:D61,B7)</f>
        <v>4</v>
      </c>
      <c r="D7" s="7">
        <f>IFERROR(AVERAGEIFS(Cleaned_Data!E12:E61,Cleaned_Data!C12:C61,A7,Cleaned_Data!D12:D61,B7),0)</f>
        <v>26.75</v>
      </c>
      <c r="E7" s="7">
        <f>IFERROR(AVERAGEIFS(Cleaned_Data!F12:F61,Cleaned_Data!C12:C61,A7,Cleaned_Data!D12:D61,B7),0)</f>
        <v>21.75</v>
      </c>
      <c r="F7" s="2">
        <f>SUMIFS(Cleaned_Data!F12:F61,Cleaned_Data!C12:C61,A7,Cleaned_Data!D12:D61,B7)</f>
        <v>87</v>
      </c>
      <c r="G7" s="7">
        <f>IFERROR(AVERAGEIFS(Cleaned_Data!I12:I61,Cleaned_Data!C12:C61,A7,Cleaned_Data!D12:D61,B7),0)</f>
        <v>27.5</v>
      </c>
      <c r="H7" s="2">
        <f>SUMIFS(Cleaned_Data!H12:H61,Cleaned_Data!C12:C61,A7,Cleaned_Data!D12:D61,B7)</f>
        <v>11</v>
      </c>
    </row>
    <row r="8" spans="1:8" x14ac:dyDescent="0.25">
      <c r="A8" s="3" t="s">
        <v>18</v>
      </c>
      <c r="B8" s="3" t="s">
        <v>20</v>
      </c>
      <c r="C8" s="2">
        <f>COUNTIFS(Cleaned_Data!C12:C61,A8,Cleaned_Data!D12:D61,B8)</f>
        <v>8</v>
      </c>
      <c r="D8" s="7">
        <f>IFERROR(AVERAGEIFS(Cleaned_Data!E12:E61,Cleaned_Data!C12:C61,A8,Cleaned_Data!D12:D61,B8),0)</f>
        <v>28</v>
      </c>
      <c r="E8" s="7">
        <f>IFERROR(AVERAGEIFS(Cleaned_Data!F12:F61,Cleaned_Data!C12:C61,A8,Cleaned_Data!D12:D61,B8),0)</f>
        <v>22.875</v>
      </c>
      <c r="F8" s="2">
        <f>SUMIFS(Cleaned_Data!F12:F61,Cleaned_Data!C12:C61,A8,Cleaned_Data!D12:D61,B8)</f>
        <v>183</v>
      </c>
      <c r="G8" s="7">
        <f>IFERROR(AVERAGEIFS(Cleaned_Data!I12:I61,Cleaned_Data!C12:C61,A8,Cleaned_Data!D12:D61,B8),0)</f>
        <v>26.875</v>
      </c>
      <c r="H8" s="2">
        <f>SUMIFS(Cleaned_Data!H12:H61,Cleaned_Data!C12:C61,A8,Cleaned_Data!D12:D61,B8)</f>
        <v>20</v>
      </c>
    </row>
    <row r="9" spans="1:8" x14ac:dyDescent="0.25">
      <c r="A9" s="3" t="s">
        <v>18</v>
      </c>
      <c r="B9" s="3" t="s">
        <v>15</v>
      </c>
      <c r="C9" s="2">
        <f>COUNTIFS(Cleaned_Data!C12:C61,A9,Cleaned_Data!D12:D61,B9)</f>
        <v>4</v>
      </c>
      <c r="D9" s="7">
        <f>IFERROR(AVERAGEIFS(Cleaned_Data!E12:E61,Cleaned_Data!C12:C61,A9,Cleaned_Data!D12:D61,B9),0)</f>
        <v>32.75</v>
      </c>
      <c r="E9" s="7">
        <f>IFERROR(AVERAGEIFS(Cleaned_Data!F12:F61,Cleaned_Data!C12:C61,A9,Cleaned_Data!D12:D61,B9),0)</f>
        <v>26.25</v>
      </c>
      <c r="F9" s="2">
        <f>SUMIFS(Cleaned_Data!F12:F61,Cleaned_Data!C12:C61,A9,Cleaned_Data!D12:D61,B9)</f>
        <v>105</v>
      </c>
      <c r="G9" s="7">
        <f>IFERROR(AVERAGEIFS(Cleaned_Data!I12:I61,Cleaned_Data!C12:C61,A9,Cleaned_Data!D12:D61,B9),0)</f>
        <v>18.75</v>
      </c>
      <c r="H9" s="2">
        <f>SUMIFS(Cleaned_Data!H12:H61,Cleaned_Data!C12:C61,A9,Cleaned_Data!D12:D61,B9)</f>
        <v>6</v>
      </c>
    </row>
    <row r="10" spans="1:8" x14ac:dyDescent="0.25">
      <c r="A10" s="3" t="s">
        <v>18</v>
      </c>
      <c r="B10" s="3" t="s">
        <v>12</v>
      </c>
      <c r="C10" s="2">
        <f>COUNTIFS(Cleaned_Data!C12:C61,A10,Cleaned_Data!D12:D61,B10)</f>
        <v>5</v>
      </c>
      <c r="D10" s="7">
        <f>IFERROR(AVERAGEIFS(Cleaned_Data!E12:E61,Cleaned_Data!C12:C61,A10,Cleaned_Data!D12:D61,B10),0)</f>
        <v>24.4</v>
      </c>
      <c r="E10" s="7">
        <f>IFERROR(AVERAGEIFS(Cleaned_Data!F12:F61,Cleaned_Data!C12:C61,A10,Cleaned_Data!D12:D61,B10),0)</f>
        <v>20.8</v>
      </c>
      <c r="F10" s="2">
        <f>SUMIFS(Cleaned_Data!F12:F61,Cleaned_Data!C12:C61,A10,Cleaned_Data!D12:D61,B10)</f>
        <v>104</v>
      </c>
      <c r="G10" s="7">
        <f>IFERROR(AVERAGEIFS(Cleaned_Data!I12:I61,Cleaned_Data!C12:C61,A10,Cleaned_Data!D12:D61,B10),0)</f>
        <v>37</v>
      </c>
      <c r="H10" s="2">
        <f>SUMIFS(Cleaned_Data!H12:H61,Cleaned_Data!C12:C61,A10,Cleaned_Data!D12:D61,B10)</f>
        <v>13</v>
      </c>
    </row>
    <row r="11" spans="1:8" x14ac:dyDescent="0.25">
      <c r="A11" s="3" t="s">
        <v>11</v>
      </c>
      <c r="B11" s="3" t="s">
        <v>20</v>
      </c>
      <c r="C11" s="2">
        <f>COUNTIFS(Cleaned_Data!C12:C61,A11,Cleaned_Data!D12:D61,B11)</f>
        <v>4</v>
      </c>
      <c r="D11" s="7">
        <f>IFERROR(AVERAGEIFS(Cleaned_Data!E12:E61,Cleaned_Data!C12:C61,A11,Cleaned_Data!D12:D61,B11),0)</f>
        <v>26.25</v>
      </c>
      <c r="E11" s="7">
        <f>IFERROR(AVERAGEIFS(Cleaned_Data!F12:F61,Cleaned_Data!C12:C61,A11,Cleaned_Data!D12:D61,B11),0)</f>
        <v>25.5</v>
      </c>
      <c r="F11" s="2">
        <f>SUMIFS(Cleaned_Data!F12:F61,Cleaned_Data!C12:C61,A11,Cleaned_Data!D12:D61,B11)</f>
        <v>102</v>
      </c>
      <c r="G11" s="7">
        <f>IFERROR(AVERAGEIFS(Cleaned_Data!I12:I61,Cleaned_Data!C12:C61,A11,Cleaned_Data!D12:D61,B11),0)</f>
        <v>29.75</v>
      </c>
      <c r="H11" s="2">
        <f>SUMIFS(Cleaned_Data!H12:H61,Cleaned_Data!C12:C61,A11,Cleaned_Data!D12:D61,B11)</f>
        <v>4</v>
      </c>
    </row>
    <row r="12" spans="1:8" x14ac:dyDescent="0.25">
      <c r="A12" s="3" t="s">
        <v>11</v>
      </c>
      <c r="B12" s="3" t="s">
        <v>15</v>
      </c>
      <c r="C12" s="2">
        <f>COUNTIFS(Cleaned_Data!C12:C61,A12,Cleaned_Data!D12:D61,B12)</f>
        <v>2</v>
      </c>
      <c r="D12" s="7">
        <f>IFERROR(AVERAGEIFS(Cleaned_Data!E12:E61,Cleaned_Data!C12:C61,A12,Cleaned_Data!D12:D61,B12),0)</f>
        <v>17.5</v>
      </c>
      <c r="E12" s="7">
        <f>IFERROR(AVERAGEIFS(Cleaned_Data!F12:F61,Cleaned_Data!C12:C61,A12,Cleaned_Data!D12:D61,B12),0)</f>
        <v>17.5</v>
      </c>
      <c r="F12" s="2">
        <f>SUMIFS(Cleaned_Data!F12:F61,Cleaned_Data!C12:C61,A12,Cleaned_Data!D12:D61,B12)</f>
        <v>35</v>
      </c>
      <c r="G12" s="7">
        <f>IFERROR(AVERAGEIFS(Cleaned_Data!I12:I61,Cleaned_Data!C12:C61,A12,Cleaned_Data!D12:D61,B12),0)</f>
        <v>17.5</v>
      </c>
      <c r="H12" s="2">
        <f>SUMIFS(Cleaned_Data!H12:H61,Cleaned_Data!C12:C61,A12,Cleaned_Data!D12:D61,B12)</f>
        <v>3</v>
      </c>
    </row>
    <row r="13" spans="1:8" x14ac:dyDescent="0.25">
      <c r="A13" s="3" t="s">
        <v>11</v>
      </c>
      <c r="B13" s="3" t="s">
        <v>12</v>
      </c>
      <c r="C13" s="2">
        <f>COUNTIFS(Cleaned_Data!C12:C61,A13,Cleaned_Data!D12:D61,B13)</f>
        <v>3</v>
      </c>
      <c r="D13" s="7">
        <f>IFERROR(AVERAGEIFS(Cleaned_Data!E12:E61,Cleaned_Data!C12:C61,A13,Cleaned_Data!D12:D61,B13),0)</f>
        <v>27</v>
      </c>
      <c r="E13" s="7">
        <f>IFERROR(AVERAGEIFS(Cleaned_Data!F12:F61,Cleaned_Data!C12:C61,A13,Cleaned_Data!D12:D61,B13),0)</f>
        <v>25.333333333333332</v>
      </c>
      <c r="F13" s="2">
        <f>SUMIFS(Cleaned_Data!F12:F61,Cleaned_Data!C12:C61,A13,Cleaned_Data!D12:D61,B13)</f>
        <v>76</v>
      </c>
      <c r="G13" s="7">
        <f>IFERROR(AVERAGEIFS(Cleaned_Data!I12:I61,Cleaned_Data!C12:C61,A13,Cleaned_Data!D12:D61,B13),0)</f>
        <v>33</v>
      </c>
      <c r="H13" s="2">
        <f>SUMIFS(Cleaned_Data!H12:H61,Cleaned_Data!C12:C61,A13,Cleaned_Data!D12:D61,B13)</f>
        <v>7</v>
      </c>
    </row>
    <row r="14" spans="1:8" x14ac:dyDescent="0.25">
      <c r="A14" s="3" t="s">
        <v>14</v>
      </c>
      <c r="B14" s="3" t="s">
        <v>20</v>
      </c>
      <c r="C14" s="2">
        <f>COUNTIFS(Cleaned_Data!C12:C61,A14,Cleaned_Data!D12:D61,B14)</f>
        <v>5</v>
      </c>
      <c r="D14" s="7">
        <f>IFERROR(AVERAGEIFS(Cleaned_Data!E12:E61,Cleaned_Data!C12:C61,A14,Cleaned_Data!D12:D61,B14),0)</f>
        <v>28.4</v>
      </c>
      <c r="E14" s="7">
        <f>IFERROR(AVERAGEIFS(Cleaned_Data!F12:F61,Cleaned_Data!C12:C61,A14,Cleaned_Data!D12:D61,B14),0)</f>
        <v>26</v>
      </c>
      <c r="F14" s="2">
        <f>SUMIFS(Cleaned_Data!F12:F61,Cleaned_Data!C12:C61,A14,Cleaned_Data!D12:D61,B14)</f>
        <v>130</v>
      </c>
      <c r="G14" s="7">
        <f>IFERROR(AVERAGEIFS(Cleaned_Data!I12:I61,Cleaned_Data!C12:C61,A14,Cleaned_Data!D12:D61,B14),0)</f>
        <v>38.4</v>
      </c>
      <c r="H14" s="2">
        <f>SUMIFS(Cleaned_Data!H12:H61,Cleaned_Data!C12:C61,A14,Cleaned_Data!D12:D61,B14)</f>
        <v>10</v>
      </c>
    </row>
    <row r="15" spans="1:8" x14ac:dyDescent="0.25">
      <c r="A15" s="3" t="s">
        <v>14</v>
      </c>
      <c r="B15" s="3" t="s">
        <v>15</v>
      </c>
      <c r="C15" s="2">
        <f>COUNTIFS(Cleaned_Data!C12:C61,A15,Cleaned_Data!D12:D61,B15)</f>
        <v>4</v>
      </c>
      <c r="D15" s="7">
        <f>IFERROR(AVERAGEIFS(Cleaned_Data!E12:E61,Cleaned_Data!C12:C61,A15,Cleaned_Data!D12:D61,B15),0)</f>
        <v>26.5</v>
      </c>
      <c r="E15" s="7">
        <f>IFERROR(AVERAGEIFS(Cleaned_Data!F12:F61,Cleaned_Data!C12:C61,A15,Cleaned_Data!D12:D61,B15),0)</f>
        <v>22.5</v>
      </c>
      <c r="F15" s="2">
        <f>SUMIFS(Cleaned_Data!F12:F61,Cleaned_Data!C12:C61,A15,Cleaned_Data!D12:D61,B15)</f>
        <v>90</v>
      </c>
      <c r="G15" s="7">
        <f>IFERROR(AVERAGEIFS(Cleaned_Data!I12:I61,Cleaned_Data!C12:C61,A15,Cleaned_Data!D12:D61,B15),0)</f>
        <v>32</v>
      </c>
      <c r="H15" s="2">
        <f>SUMIFS(Cleaned_Data!H12:H61,Cleaned_Data!C12:C61,A15,Cleaned_Data!D12:D61,B15)</f>
        <v>11</v>
      </c>
    </row>
    <row r="16" spans="1:8" x14ac:dyDescent="0.25">
      <c r="A16" s="3" t="s">
        <v>14</v>
      </c>
      <c r="B16" s="3" t="s">
        <v>12</v>
      </c>
      <c r="C16" s="2">
        <f>COUNTIFS(Cleaned_Data!C12:C61,A16,Cleaned_Data!D12:D61,B16)</f>
        <v>3</v>
      </c>
      <c r="D16" s="7">
        <f>IFERROR(AVERAGEIFS(Cleaned_Data!E12:E61,Cleaned_Data!C12:C61,A16,Cleaned_Data!D12:D61,B16),0)</f>
        <v>25.333333333333332</v>
      </c>
      <c r="E16" s="7">
        <f>IFERROR(AVERAGEIFS(Cleaned_Data!F12:F61,Cleaned_Data!C12:C61,A16,Cleaned_Data!D12:D61,B16),0)</f>
        <v>21.333333333333332</v>
      </c>
      <c r="F16" s="2">
        <f>SUMIFS(Cleaned_Data!F12:F61,Cleaned_Data!C12:C61,A16,Cleaned_Data!D12:D61,B16)</f>
        <v>64</v>
      </c>
      <c r="G16" s="7">
        <f>IFERROR(AVERAGEIFS(Cleaned_Data!I12:I61,Cleaned_Data!C12:C61,A16,Cleaned_Data!D12:D61,B16),0)</f>
        <v>18.333333333333332</v>
      </c>
      <c r="H16" s="2">
        <f>SUMIFS(Cleaned_Data!H12:H61,Cleaned_Data!C12:C61,A16,Cleaned_Data!D12:D61,B16)</f>
        <v>9</v>
      </c>
    </row>
    <row r="17" spans="1:8" x14ac:dyDescent="0.25">
      <c r="A17" s="27" t="s">
        <v>135</v>
      </c>
      <c r="B17" s="27"/>
      <c r="C17" s="13">
        <f>SUM(C5:C16)</f>
        <v>50</v>
      </c>
      <c r="D17" s="9">
        <f>AVERAGE(Cleaned_Data!E12:E61)</f>
        <v>28</v>
      </c>
      <c r="E17" s="9">
        <f>AVERAGE(Cleaned_Data!F12:F61)</f>
        <v>24</v>
      </c>
      <c r="F17" s="13">
        <f>SUM(Cleaned_Data!F12:F61)</f>
        <v>1200</v>
      </c>
      <c r="G17" s="9">
        <f>AVERAGE(Cleaned_Data!I12:I61)</f>
        <v>27.56</v>
      </c>
      <c r="H17" s="13">
        <f>SUM(Cleaned_Data!H12:H61)</f>
        <v>109</v>
      </c>
    </row>
  </sheetData>
  <mergeCells count="3">
    <mergeCell ref="A1:H1"/>
    <mergeCell ref="A2:H2"/>
    <mergeCell ref="A17:B17"/>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showGridLines="0" zoomScale="70" zoomScaleNormal="70" workbookViewId="0">
      <selection activeCell="M21" sqref="J21:M32"/>
    </sheetView>
  </sheetViews>
  <sheetFormatPr defaultColWidth="8.7109375" defaultRowHeight="15" x14ac:dyDescent="0.25"/>
  <sheetData>
    <row r="1" spans="1:1" ht="18" x14ac:dyDescent="0.25">
      <c r="A1" s="14" t="s">
        <v>136</v>
      </c>
    </row>
  </sheetData>
  <pageMargins left="0.75" right="0.75" top="1" bottom="1" header="0.511811023622047" footer="0.511811023622047"/>
  <pageSetup paperSize="9" orientation="portrait" horizontalDpi="300" verticalDpi="30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29"/>
  <sheetViews>
    <sheetView showGridLines="0" topLeftCell="A7" zoomScaleNormal="100" workbookViewId="0">
      <selection activeCell="H17" sqref="H17"/>
    </sheetView>
  </sheetViews>
  <sheetFormatPr defaultColWidth="8.7109375" defaultRowHeight="15" x14ac:dyDescent="0.25"/>
  <cols>
    <col min="1" max="1" width="16" customWidth="1"/>
    <col min="2" max="2" width="12" customWidth="1"/>
    <col min="3" max="3" width="16" customWidth="1"/>
    <col min="4" max="4" width="20" customWidth="1"/>
    <col min="5" max="6" width="16" customWidth="1"/>
  </cols>
  <sheetData>
    <row r="1" spans="1:6" ht="18" x14ac:dyDescent="0.25">
      <c r="A1" s="19" t="s">
        <v>137</v>
      </c>
      <c r="B1" s="19"/>
      <c r="C1" s="19"/>
      <c r="D1" s="19"/>
      <c r="E1" s="19"/>
      <c r="F1" s="19"/>
    </row>
    <row r="3" spans="1:6" x14ac:dyDescent="0.25">
      <c r="A3" s="29" t="s">
        <v>138</v>
      </c>
      <c r="B3" s="29"/>
      <c r="C3" s="29"/>
      <c r="D3" s="29"/>
      <c r="E3" s="29"/>
      <c r="F3" s="29"/>
    </row>
    <row r="4" spans="1:6" ht="30" x14ac:dyDescent="0.25">
      <c r="A4" s="1" t="s">
        <v>0</v>
      </c>
      <c r="B4" s="1" t="s">
        <v>126</v>
      </c>
      <c r="C4" s="1" t="s">
        <v>2</v>
      </c>
      <c r="D4" s="1" t="s">
        <v>139</v>
      </c>
      <c r="E4" s="1" t="s">
        <v>140</v>
      </c>
      <c r="F4" s="1" t="s">
        <v>141</v>
      </c>
    </row>
    <row r="5" spans="1:6" x14ac:dyDescent="0.25">
      <c r="A5" s="2" t="s">
        <v>10</v>
      </c>
      <c r="B5" s="2" t="s">
        <v>12</v>
      </c>
      <c r="C5" s="3" t="s">
        <v>11</v>
      </c>
      <c r="D5" s="2">
        <v>59</v>
      </c>
      <c r="E5" s="2">
        <v>0</v>
      </c>
      <c r="F5" s="2">
        <v>2.8</v>
      </c>
    </row>
    <row r="6" spans="1:6" x14ac:dyDescent="0.25">
      <c r="A6" s="2" t="s">
        <v>62</v>
      </c>
      <c r="B6" s="2" t="s">
        <v>12</v>
      </c>
      <c r="C6" s="3" t="s">
        <v>22</v>
      </c>
      <c r="D6" s="2">
        <v>59</v>
      </c>
      <c r="E6" s="2">
        <v>1</v>
      </c>
      <c r="F6" s="2">
        <v>2.6</v>
      </c>
    </row>
    <row r="7" spans="1:6" x14ac:dyDescent="0.25">
      <c r="A7" s="2" t="s">
        <v>34</v>
      </c>
      <c r="B7" s="2" t="s">
        <v>20</v>
      </c>
      <c r="C7" s="3" t="s">
        <v>18</v>
      </c>
      <c r="D7" s="2">
        <v>58</v>
      </c>
      <c r="E7" s="2">
        <v>4</v>
      </c>
      <c r="F7" s="2">
        <v>2.2999999999999998</v>
      </c>
    </row>
    <row r="8" spans="1:6" x14ac:dyDescent="0.25">
      <c r="A8" s="2" t="s">
        <v>35</v>
      </c>
      <c r="B8" s="2" t="s">
        <v>15</v>
      </c>
      <c r="C8" s="3" t="s">
        <v>22</v>
      </c>
      <c r="D8" s="2">
        <v>58</v>
      </c>
      <c r="E8" s="2">
        <v>3</v>
      </c>
      <c r="F8" s="2">
        <v>1.9</v>
      </c>
    </row>
    <row r="9" spans="1:6" x14ac:dyDescent="0.25">
      <c r="A9" s="2" t="s">
        <v>21</v>
      </c>
      <c r="B9" s="2" t="s">
        <v>20</v>
      </c>
      <c r="C9" s="3" t="s">
        <v>22</v>
      </c>
      <c r="D9" s="2">
        <v>54</v>
      </c>
      <c r="E9" s="2">
        <v>3</v>
      </c>
      <c r="F9" s="2">
        <v>2.8</v>
      </c>
    </row>
    <row r="11" spans="1:6" x14ac:dyDescent="0.25">
      <c r="A11" s="28" t="s">
        <v>142</v>
      </c>
      <c r="B11" s="28"/>
      <c r="C11" s="28"/>
      <c r="D11" s="28"/>
      <c r="E11" s="28"/>
      <c r="F11" s="28"/>
    </row>
    <row r="12" spans="1:6" ht="30" customHeight="1" x14ac:dyDescent="0.25">
      <c r="A12" s="24" t="s">
        <v>144</v>
      </c>
      <c r="B12" s="24"/>
      <c r="C12" s="24"/>
      <c r="D12" s="24"/>
      <c r="E12" s="24"/>
      <c r="F12" s="24"/>
    </row>
    <row r="13" spans="1:6" x14ac:dyDescent="0.25">
      <c r="A13" s="16"/>
      <c r="B13" s="16"/>
      <c r="C13" s="16"/>
      <c r="D13" s="16"/>
      <c r="E13" s="16"/>
      <c r="F13" s="16"/>
    </row>
    <row r="14" spans="1:6" ht="30" customHeight="1" x14ac:dyDescent="0.25">
      <c r="A14" s="24" t="s">
        <v>145</v>
      </c>
      <c r="B14" s="24"/>
      <c r="C14" s="24"/>
      <c r="D14" s="24"/>
      <c r="E14" s="24"/>
      <c r="F14" s="24"/>
    </row>
    <row r="15" spans="1:6" x14ac:dyDescent="0.25">
      <c r="A15" s="16"/>
      <c r="B15" s="16"/>
      <c r="C15" s="16"/>
      <c r="D15" s="16"/>
      <c r="E15" s="16"/>
      <c r="F15" s="16"/>
    </row>
    <row r="16" spans="1:6" ht="30" customHeight="1" x14ac:dyDescent="0.25">
      <c r="A16" s="24" t="s">
        <v>146</v>
      </c>
      <c r="B16" s="24"/>
      <c r="C16" s="24"/>
      <c r="D16" s="24"/>
      <c r="E16" s="24"/>
      <c r="F16" s="24"/>
    </row>
    <row r="17" spans="1:6" x14ac:dyDescent="0.25">
      <c r="A17" s="16"/>
      <c r="B17" s="16"/>
      <c r="C17" s="16"/>
      <c r="D17" s="16"/>
      <c r="E17" s="16"/>
      <c r="F17" s="16"/>
    </row>
    <row r="18" spans="1:6" ht="30" customHeight="1" x14ac:dyDescent="0.25">
      <c r="A18" s="24" t="s">
        <v>147</v>
      </c>
      <c r="B18" s="24"/>
      <c r="C18" s="24"/>
      <c r="D18" s="24"/>
      <c r="E18" s="24"/>
      <c r="F18" s="24"/>
    </row>
    <row r="19" spans="1:6" x14ac:dyDescent="0.25">
      <c r="A19" s="16"/>
      <c r="B19" s="16"/>
      <c r="C19" s="16"/>
      <c r="D19" s="16"/>
      <c r="E19" s="16"/>
      <c r="F19" s="16"/>
    </row>
    <row r="20" spans="1:6" ht="51.75" customHeight="1" x14ac:dyDescent="0.25">
      <c r="A20" s="24" t="s">
        <v>148</v>
      </c>
      <c r="B20" s="24"/>
      <c r="C20" s="24"/>
      <c r="D20" s="24"/>
      <c r="E20" s="24"/>
      <c r="F20" s="24"/>
    </row>
    <row r="21" spans="1:6" x14ac:dyDescent="0.25">
      <c r="A21" s="15"/>
      <c r="B21" s="15"/>
      <c r="C21" s="15"/>
      <c r="D21" s="15"/>
      <c r="E21" s="15"/>
      <c r="F21" s="15"/>
    </row>
    <row r="22" spans="1:6" ht="14.25" customHeight="1" x14ac:dyDescent="0.25">
      <c r="A22" s="28" t="s">
        <v>143</v>
      </c>
      <c r="B22" s="28"/>
      <c r="C22" s="28"/>
      <c r="D22" s="28"/>
      <c r="E22" s="28"/>
      <c r="F22" s="28"/>
    </row>
    <row r="23" spans="1:6" ht="14.25" customHeight="1" x14ac:dyDescent="0.25">
      <c r="A23" s="17"/>
      <c r="B23" s="17"/>
      <c r="C23" s="17"/>
      <c r="D23" s="17"/>
      <c r="E23" s="17"/>
      <c r="F23" s="17"/>
    </row>
    <row r="24" spans="1:6" ht="39.75" customHeight="1" x14ac:dyDescent="0.25">
      <c r="A24" s="24" t="s">
        <v>149</v>
      </c>
      <c r="B24" s="24"/>
      <c r="C24" s="24"/>
      <c r="D24" s="24"/>
      <c r="E24" s="24"/>
      <c r="F24" s="24"/>
    </row>
    <row r="25" spans="1:6" ht="18" customHeight="1" x14ac:dyDescent="0.25">
      <c r="A25" s="16"/>
      <c r="B25" s="16"/>
      <c r="C25" s="16"/>
      <c r="D25" s="16"/>
      <c r="E25" s="16"/>
      <c r="F25" s="16"/>
    </row>
    <row r="26" spans="1:6" ht="39.75" customHeight="1" x14ac:dyDescent="0.25">
      <c r="A26" s="24" t="s">
        <v>150</v>
      </c>
      <c r="B26" s="24"/>
      <c r="C26" s="24"/>
      <c r="D26" s="24"/>
      <c r="E26" s="24"/>
      <c r="F26" s="24"/>
    </row>
    <row r="27" spans="1:6" ht="39.75" customHeight="1" x14ac:dyDescent="0.25">
      <c r="A27" s="24" t="s">
        <v>151</v>
      </c>
      <c r="B27" s="24"/>
      <c r="C27" s="24"/>
      <c r="D27" s="24"/>
      <c r="E27" s="24"/>
      <c r="F27" s="24"/>
    </row>
    <row r="28" spans="1:6" ht="16.5" customHeight="1" x14ac:dyDescent="0.25">
      <c r="A28" s="16"/>
      <c r="B28" s="16"/>
      <c r="C28" s="16"/>
      <c r="D28" s="16"/>
      <c r="E28" s="16"/>
      <c r="F28" s="16"/>
    </row>
    <row r="29" spans="1:6" ht="39.75" customHeight="1" x14ac:dyDescent="0.25">
      <c r="A29" s="24" t="s">
        <v>152</v>
      </c>
      <c r="B29" s="24"/>
      <c r="C29" s="24"/>
      <c r="D29" s="24"/>
      <c r="E29" s="24"/>
      <c r="F29" s="24"/>
    </row>
  </sheetData>
  <mergeCells count="13">
    <mergeCell ref="A1:F1"/>
    <mergeCell ref="A3:F3"/>
    <mergeCell ref="A11:F11"/>
    <mergeCell ref="A12:F12"/>
    <mergeCell ref="A14:F14"/>
    <mergeCell ref="A26:F26"/>
    <mergeCell ref="A27:F27"/>
    <mergeCell ref="A29:F29"/>
    <mergeCell ref="A16:F16"/>
    <mergeCell ref="A18:F18"/>
    <mergeCell ref="A20:F20"/>
    <mergeCell ref="A22:F22"/>
    <mergeCell ref="A24:F24"/>
  </mergeCells>
  <pageMargins left="0.75" right="0.75" top="1" bottom="1"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Data_Dictionary</vt:lpstr>
      <vt:lpstr>Raw_Data</vt:lpstr>
      <vt:lpstr>Cleaned_Data</vt:lpstr>
      <vt:lpstr>Descriptive_Statistics</vt:lpstr>
      <vt:lpstr>Course_Analysis</vt:lpstr>
      <vt:lpstr>LabRoom_Analysis</vt:lpstr>
      <vt:lpstr>Correlation_Analysis</vt:lpstr>
      <vt:lpstr>PivotTable_Summary</vt:lpstr>
      <vt:lpstr>Charts</vt:lpstr>
      <vt:lpstr>Findings_Recommendations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kinchie mancia</cp:lastModifiedBy>
  <cp:revision>1</cp:revision>
  <dcterms:created xsi:type="dcterms:W3CDTF">2026-09-17T11:37:24Z</dcterms:created>
  <dcterms:modified xsi:type="dcterms:W3CDTF">2026-09-23T12:48:38Z</dcterms:modified>
  <dc:language>en-US</dc:language>
</cp:coreProperties>
</file>